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ALL DATA\Desktop\mysite\Que_Info\SPFx\DriverLogPortal\"/>
    </mc:Choice>
  </mc:AlternateContent>
  <xr:revisionPtr revIDLastSave="0" documentId="13_ncr:1_{28B6866A-08A3-436D-9EBD-D92EB9D4430A}" xr6:coauthVersionLast="47" xr6:coauthVersionMax="47" xr10:uidLastSave="{00000000-0000-0000-0000-000000000000}"/>
  <bookViews>
    <workbookView xWindow="-108" yWindow="-108" windowWidth="23256" windowHeight="12456" firstSheet="4" activeTab="4" xr2:uid="{00000000-000D-0000-FFFF-FFFF00000000}"/>
  </bookViews>
  <sheets>
    <sheet name="Start Here" sheetId="1" r:id="rId1"/>
    <sheet name="Progress" sheetId="2" r:id="rId2"/>
    <sheet name="Baseline data" sheetId="3" r:id="rId3"/>
    <sheet name="0 Setup" sheetId="4" r:id="rId4"/>
    <sheet name="1 Book a Ride" sheetId="5" r:id="rId5"/>
    <sheet name="2 Booking results" sheetId="6" r:id="rId6"/>
    <sheet name="3 My Bookings" sheetId="7" r:id="rId7"/>
    <sheet name="4 Driver Dashboard" sheetId="8" r:id="rId8"/>
    <sheet name="5 Dispatch Dashboard" sheetId="9" r:id="rId9"/>
    <sheet name="6 Fleet Reports" sheetId="10" r:id="rId10"/>
    <sheet name="7 Full journeys" sheetId="11" r:id="rId11"/>
    <sheet name="Data Notes" sheetId="12" r:id="rId12"/>
    <sheet name="Code Review Risks" sheetId="13" r:id="rId13"/>
    <sheet name="Bug Log" sheetId="14" r:id="rId14"/>
  </sheets>
  <definedNames>
    <definedName name="_xlnm._FilterDatabase" localSheetId="3" hidden="1">'0 Setup'!$A$4:$N$18</definedName>
    <definedName name="_xlnm._FilterDatabase" localSheetId="4" hidden="1">'1 Book a Ride'!$A$4:$N$38</definedName>
    <definedName name="_xlnm._FilterDatabase" localSheetId="5" hidden="1">'2 Booking results'!$A$4:$N$33</definedName>
    <definedName name="_xlnm._FilterDatabase" localSheetId="6" hidden="1">'3 My Bookings'!$A$4:$N$20</definedName>
    <definedName name="_xlnm._FilterDatabase" localSheetId="7" hidden="1">'4 Driver Dashboard'!$A$4:$N$38</definedName>
    <definedName name="_xlnm._FilterDatabase" localSheetId="8" hidden="1">'5 Dispatch Dashboard'!$A$4:$N$39</definedName>
    <definedName name="_xlnm._FilterDatabase" localSheetId="9" hidden="1">'6 Fleet Reports'!$A$4:$N$22</definedName>
    <definedName name="_xlnm._FilterDatabase" localSheetId="10" hidden="1">'7 Full journeys'!$A$4:$N$25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2" l="1"/>
  <c r="F12" i="2"/>
  <c r="E12" i="2"/>
  <c r="D12" i="2"/>
  <c r="C12" i="2"/>
  <c r="I12" i="2" s="1"/>
  <c r="B12" i="2"/>
  <c r="H12" i="2" s="1"/>
  <c r="G11" i="2"/>
  <c r="F11" i="2"/>
  <c r="E11" i="2"/>
  <c r="D11" i="2"/>
  <c r="C11" i="2"/>
  <c r="I11" i="2" s="1"/>
  <c r="B11" i="2"/>
  <c r="H11" i="2" s="1"/>
  <c r="G10" i="2"/>
  <c r="F10" i="2"/>
  <c r="E10" i="2"/>
  <c r="D10" i="2"/>
  <c r="C10" i="2"/>
  <c r="I10" i="2" s="1"/>
  <c r="B10" i="2"/>
  <c r="H10" i="2" s="1"/>
  <c r="G9" i="2"/>
  <c r="F9" i="2"/>
  <c r="E9" i="2"/>
  <c r="D9" i="2"/>
  <c r="C9" i="2"/>
  <c r="I9" i="2" s="1"/>
  <c r="B9" i="2"/>
  <c r="H9" i="2" s="1"/>
  <c r="G8" i="2"/>
  <c r="F8" i="2"/>
  <c r="E8" i="2"/>
  <c r="D8" i="2"/>
  <c r="C8" i="2"/>
  <c r="I8" i="2" s="1"/>
  <c r="B8" i="2"/>
  <c r="H8" i="2" s="1"/>
  <c r="G7" i="2"/>
  <c r="F7" i="2"/>
  <c r="E7" i="2"/>
  <c r="D7" i="2"/>
  <c r="C7" i="2"/>
  <c r="I7" i="2" s="1"/>
  <c r="B7" i="2"/>
  <c r="G6" i="2"/>
  <c r="F6" i="2"/>
  <c r="E6" i="2"/>
  <c r="D6" i="2"/>
  <c r="C6" i="2"/>
  <c r="B6" i="2"/>
  <c r="G5" i="2"/>
  <c r="F5" i="2"/>
  <c r="E5" i="2"/>
  <c r="D5" i="2"/>
  <c r="C5" i="2"/>
  <c r="B5" i="2"/>
  <c r="G13" i="2" l="1"/>
  <c r="E13" i="2"/>
  <c r="H6" i="2"/>
  <c r="I6" i="2"/>
  <c r="F13" i="2"/>
  <c r="D13" i="2"/>
  <c r="H7" i="2"/>
  <c r="C13" i="2"/>
  <c r="I5" i="2"/>
  <c r="B13" i="2"/>
  <c r="H5" i="2"/>
  <c r="H13" i="2" l="1"/>
  <c r="I13" i="2"/>
</calcChain>
</file>

<file path=xl/sharedStrings.xml><?xml version="1.0" encoding="utf-8"?>
<sst xmlns="http://schemas.openxmlformats.org/spreadsheetml/2006/main" count="2402" uniqueCount="1319">
  <si>
    <t>Fleet Booking and Dispatch Portal - Test run with three users</t>
  </si>
  <si>
    <t>What this is</t>
  </si>
  <si>
    <t>A step-by-step test of the five deployed web parts using only three logins: Aliakbar (requester and Coordinator), Aabid and Mahedi (drivers). Where a test needs a situation your data does not have, the step tells you exactly which master-list value to change first and what to put back afterwards.</t>
  </si>
  <si>
    <t>The three people</t>
  </si>
  <si>
    <t>ALIAKBAR: books rides (Book a Ride, My Bookings) and runs dispatch (Dispatch Dashboard, Fleet Reports). Must not be linked to any DriversMaster row.
AABID: driver 'Queinfotech aabid', item ID 18, home Yas Island Resort, also linked to Al Maryah Tower, cap 1, Patrol / Pathfinder / Kicks / Creta.
MAHEDI: driver 'Queinfotech mahedi', item ID 19, home Al Maryah Tower, cap 2, Kicks / Creta / Patrol.
Keep all three signed in at once in separate browsers or profiles.</t>
  </si>
  <si>
    <t>Sheets, in order</t>
  </si>
  <si>
    <t>0 Setup - once, to reach the baseline.
1 Book a Ride.
2 Booking results - who is offered what, driven by master-data changes.
3 My Bookings.
4 Driver Dashboard.
5 Dispatch Dashboard.
6 Fleet Reports - last.
7 Full journeys - whole stories with all three people, permissions, look and feel.</t>
  </si>
  <si>
    <t>Columns</t>
  </si>
  <si>
    <t>'Set up first (data and state)' (blue): what must be true before the step, including any master-list edit. 'Baseline' means the state on the Baseline data sheet.
'Put back afterwards' (blue): undo your edits here before the next step.
Yellow columns are yours to fill in: Actual result, Status, Notes / Bug ID, Tested by, Date tested.</t>
  </si>
  <si>
    <t>The standard booking</t>
  </si>
  <si>
    <t>Pickup Head Office, destination Reem Island Office, Today, a slot within the next 4 hours, Staff, Patrol, 2 passengers. In the baseline this is offered to both drivers and uses vehicle AUH-11223.</t>
  </si>
  <si>
    <t>Status values</t>
  </si>
  <si>
    <t>Not Run (default), Pass, Fail, Blocked, N/A. The Progress sheet counts them.</t>
  </si>
  <si>
    <t>No flows</t>
  </si>
  <si>
    <t>The pack assumes no Power Automate flow is running. Three things therefore never happen by themselves, and steps tell you to do them by hand: an unanswered request does not move to the Coordinator; after Complete the request stays Allocated and the driver and vehicle stay On Trip; a Held booking is not released.</t>
  </si>
  <si>
    <t>Reset between steps</t>
  </si>
  <si>
    <t>If things get tangled: 1) cancel every pending request from Dispatch; 2) in TripAssignments set any Assigned, En Route or In Transit trip to Cancelled; 3) set both drivers' Status and both vehicles' VehStatus to Available; 4) compare the masters with the Baseline data sheet.</t>
  </si>
  <si>
    <t>Keep open</t>
  </si>
  <si>
    <t>The lists TransportRequests, RideOffers, TripAssignments, TripStatusHistory, DriversMaster, VehicleMaster, DLClientMaster, AvailabilityBlocks, AllocationRules. The browser console in Aliakbar's session: the engine explains each decision in lines starting [FleetPortal].</t>
  </si>
  <si>
    <t>Timing</t>
  </si>
  <si>
    <t>Driver page refreshes every 20 s, My Bookings 30 s, Dispatch 60 s, the booking wizard 10 s. Master-data edits take effect on the next booking; reload a page after changing a driver's own record.</t>
  </si>
  <si>
    <t>Example of a filled row</t>
  </si>
  <si>
    <t>Actual result: 'Offer created for Mahedi only; console showed Aabid not qualified.'  Status: Pass  Tested by: MAS  Date tested: 12-Oct-2026</t>
  </si>
  <si>
    <t>Progress</t>
  </si>
  <si>
    <t>Counts update as you set Status on each sheet.</t>
  </si>
  <si>
    <t>Sheet</t>
  </si>
  <si>
    <t>Total</t>
  </si>
  <si>
    <t>Pass</t>
  </si>
  <si>
    <t>Fail</t>
  </si>
  <si>
    <t>Blocked</t>
  </si>
  <si>
    <t>N/A</t>
  </si>
  <si>
    <t>Not Run</t>
  </si>
  <si>
    <t>% run</t>
  </si>
  <si>
    <t>% passed of run</t>
  </si>
  <si>
    <t>0 Setup</t>
  </si>
  <si>
    <t>1 Book a Ride</t>
  </si>
  <si>
    <t>2 Booking results</t>
  </si>
  <si>
    <t>3 My Bookings</t>
  </si>
  <si>
    <t>4 Driver Dashboard</t>
  </si>
  <si>
    <t>5 Dispatch Dashboard</t>
  </si>
  <si>
    <t>6 Fleet Reports</t>
  </si>
  <si>
    <t>7 Full journeys</t>
  </si>
  <si>
    <t>All sheets</t>
  </si>
  <si>
    <t>The state the master lists should be in before each step, unless the step says otherwise. Source: the data you sent on 9 Oct 2026.</t>
  </si>
  <si>
    <t>DriversMaster</t>
  </si>
  <si>
    <t>Title (driver name)</t>
  </si>
  <si>
    <t>DriverID / item ID</t>
  </si>
  <si>
    <t>Home property</t>
  </si>
  <si>
    <t>QualifiedVehicleTypes</t>
  </si>
  <si>
    <t>Status</t>
  </si>
  <si>
    <t>MaxConcurrentTrips</t>
  </si>
  <si>
    <t>LicenceExpiry</t>
  </si>
  <si>
    <t>Other</t>
  </si>
  <si>
    <t>Queinfotech aabid</t>
  </si>
  <si>
    <t>D001 / 18</t>
  </si>
  <si>
    <t>Yas Island Resort</t>
  </si>
  <si>
    <t>Patrol; Pathfinder; Kicks / Creta</t>
  </si>
  <si>
    <t>Available</t>
  </si>
  <si>
    <t>14 Aug 2029</t>
  </si>
  <si>
    <t>IsActive Yes. UserAccount = Aabid's login. Phone +971 50 123 4567</t>
  </si>
  <si>
    <t>Queinfotech mahedi</t>
  </si>
  <si>
    <t>D002 / 19</t>
  </si>
  <si>
    <t>Al Maryah Tower</t>
  </si>
  <si>
    <t>Kicks / Creta; Patrol</t>
  </si>
  <si>
    <t>02 Feb 2029</t>
  </si>
  <si>
    <t>IsActive Yes. UserAccount = Mahedi's login. Phone +971 50 123 4568</t>
  </si>
  <si>
    <t>Any other driver row</t>
  </si>
  <si>
    <t>-</t>
  </si>
  <si>
    <t>IsActive No and UserAccount empty (or delete the row)</t>
  </si>
  <si>
    <t>DLClientMaster (required for this pack - set in step S-04)</t>
  </si>
  <si>
    <t>DriverID</t>
  </si>
  <si>
    <t>PropertyRef</t>
  </si>
  <si>
    <t>VehicleMaster</t>
  </si>
  <si>
    <t>Plate</t>
  </si>
  <si>
    <t>VehicleType</t>
  </si>
  <si>
    <t>Vehicle</t>
  </si>
  <si>
    <t>DefaultDriver</t>
  </si>
  <si>
    <t>VehStatus</t>
  </si>
  <si>
    <t>Capacity</t>
  </si>
  <si>
    <t>AUH-11223</t>
  </si>
  <si>
    <t>Patrol</t>
  </si>
  <si>
    <t>White Nissan Patrol</t>
  </si>
  <si>
    <t>The vehicle nearly every step uses</t>
  </si>
  <si>
    <t>AUH-01234</t>
  </si>
  <si>
    <t>Cargo Van</t>
  </si>
  <si>
    <t>Blue Ford Transit</t>
  </si>
  <si>
    <t>Khalifa Industrial Park</t>
  </si>
  <si>
    <t>Borrowed as a second Patrol in a few steps; always put it back</t>
  </si>
  <si>
    <t>Any other vehicle</t>
  </si>
  <si>
    <t>No other Patrol at Al Maryah Tower</t>
  </si>
  <si>
    <t>Other lists</t>
  </si>
  <si>
    <t>List</t>
  </si>
  <si>
    <t>Baseline</t>
  </si>
  <si>
    <t>AvailabilityBlocks</t>
  </si>
  <si>
    <t>No row covering today for either driver or vehicle</t>
  </si>
  <si>
    <t>TripAssignments</t>
  </si>
  <si>
    <t>No trip in Assigned, En Route or In Transit</t>
  </si>
  <si>
    <t>TransportRequests</t>
  </si>
  <si>
    <t>Nothing in Submitted, Broadcasting or Awaiting Coordinator</t>
  </si>
  <si>
    <t>AllocationRules</t>
  </si>
  <si>
    <t>9 rules. Offer window 15 min, cap 1, advance release 4 h, Automatic; 'Khalifa Industrial Park - Client or Client Guest' is Manual</t>
  </si>
  <si>
    <t>Locations</t>
  </si>
  <si>
    <t>12 active. Al Maryah Tower: Head Office, Reem Island Office, Central Warehouse. Yas Island Resort: Yas Mall, Yas Resort Reception, Yas Staff Accommodation. Khalifa Industrial Park: Khalifa Plant Gate 2, Khalifa Admin Block. No property: both airports, Cleveland Clinic Abu Dhabi, Downtown Abu Dhabi</t>
  </si>
  <si>
    <t>VehicleTypes</t>
  </si>
  <si>
    <t>Staff: Patrol, Kicks / Creta, Others. Client: Patrol, Pathfinder, Kicks / Creta, Others. Items: four vans, Others</t>
  </si>
  <si>
    <t>Groups</t>
  </si>
  <si>
    <t>Login</t>
  </si>
  <si>
    <t>Aliakbar</t>
  </si>
  <si>
    <t>FM Requesters, FM Coordinators, FM Admins. Not FM Drivers</t>
  </si>
  <si>
    <t>Aabid</t>
  </si>
  <si>
    <t>FM Drivers</t>
  </si>
  <si>
    <t>Mahedi</t>
  </si>
  <si>
    <t>Data changes used in this pack</t>
  </si>
  <si>
    <t>To make this happen</t>
  </si>
  <si>
    <t>Change</t>
  </si>
  <si>
    <t>Used in</t>
  </si>
  <si>
    <t>Only one driver offered</t>
  </si>
  <si>
    <t>Remove Patrol from the other's QualifiedVehicleTypes; or delete their DLClientMaster row for Al Maryah Tower; or IsActive = No; or LicenceExpiry = today; or a Leave row in AvailabilityBlocks</t>
  </si>
  <si>
    <t>Sheet 2</t>
  </si>
  <si>
    <t>Immediate escalation</t>
  </si>
  <si>
    <t>AUH-11223 VehStatus = Under Maintenance</t>
  </si>
  <si>
    <t>Sheets 1, 2, 3, 7</t>
  </si>
  <si>
    <t>A second Patrol</t>
  </si>
  <si>
    <t>AUH-01234: VehicleType = Patrol, PropertyRef = Al Maryah Tower</t>
  </si>
  <si>
    <t>Sheets 2, 4, 5, 7</t>
  </si>
  <si>
    <t>Fast offer expiry</t>
  </si>
  <si>
    <t>'Al Maryah Tower - Staff' rule: OfferWindowMinutes = 2</t>
  </si>
  <si>
    <t>Sheets 2, 4</t>
  </si>
  <si>
    <t>No broadcast at all</t>
  </si>
  <si>
    <t>'Al Maryah Tower - Staff' rule: Mode = Manual</t>
  </si>
  <si>
    <t>Release a Held booking</t>
  </si>
  <si>
    <t>TransportRequests row: ReqStatus = Submitted, then open Dispatch</t>
  </si>
  <si>
    <t>Sheets 2, 7</t>
  </si>
  <si>
    <t>Imitate offer expiry</t>
  </si>
  <si>
    <t>TransportRequests row: ReqStatus = Awaiting Coordinator</t>
  </si>
  <si>
    <t>Sheet 5</t>
  </si>
  <si>
    <t>Free a driver and vehicle after Complete</t>
  </si>
  <si>
    <t>Driver Status = Available; vehicle VehStatus = Available</t>
  </si>
  <si>
    <t>Sheets 4, 5, 7</t>
  </si>
  <si>
    <t>Setup</t>
  </si>
  <si>
    <t>Get the three logins, the master data and the pages into a known state. Do every step once, in order.</t>
  </si>
  <si>
    <t>Step</t>
  </si>
  <si>
    <t>ID</t>
  </si>
  <si>
    <t>Feature</t>
  </si>
  <si>
    <t>Sign in as</t>
  </si>
  <si>
    <t>Priority</t>
  </si>
  <si>
    <t>Set up first (data and state)</t>
  </si>
  <si>
    <t>Test steps</t>
  </si>
  <si>
    <t>Expected result</t>
  </si>
  <si>
    <t>Put back afterwards</t>
  </si>
  <si>
    <t>Actual result</t>
  </si>
  <si>
    <t>Notes / Bug ID</t>
  </si>
  <si>
    <t>Tested by</t>
  </si>
  <si>
    <t>Date tested</t>
  </si>
  <si>
    <t>S-01</t>
  </si>
  <si>
    <t>Three sessions</t>
  </si>
  <si>
    <t>High</t>
  </si>
  <si>
    <t>1. Open three separate browser sessions so all three people can be signed in at once: for example Edge for Aliakbar, Chrome for Aabid, and a private window or another browser profile for Mahedi.
2. Sign each one in to the site.</t>
  </si>
  <si>
    <t>Three sessions, one per login, side by side. Most driver tests need you to watch two screens at once.</t>
  </si>
  <si>
    <t>S-02</t>
  </si>
  <si>
    <t>Site owner</t>
  </si>
  <si>
    <t>1. Open Site permissions and check group membership.</t>
  </si>
  <si>
    <t>- Aliakbar: FM Requesters, FM Coordinators and FM Admins. NOT in FM Drivers.
- Aabid and Mahedi: FM Drivers.
- Record anything different in Notes.</t>
  </si>
  <si>
    <t>S-03</t>
  </si>
  <si>
    <t>1. Open DriversMaster and compare with the 'Baseline data' sheet.
2. For any other driver row still in the list (Mohammed Iqbal, Jomon Varghese, Ali Hassan, Arun Prasad from the earlier data): set IsActive = No and clear UserAccount, or delete the row.</t>
  </si>
  <si>
    <t>- Two active drivers only: 'Queinfotech aabid' (item ID 18, cap 1, home property Yas Island Resort) and 'Queinfotech mahedi' (item ID 19, cap 2, home property Al Maryah Tower), both Status Available, each with their own login in UserAccount.
- Aliakbar's login is not in UserAccount on any row. If it is, Aliakbar is treated as a driver and the Dispatch page is narrowed to that driver's property.</t>
  </si>
  <si>
    <t>S-04</t>
  </si>
  <si>
    <t>DLClientMaster</t>
  </si>
  <si>
    <t>1. Open DLClientMaster.
2. Make sure these three rows exist, and no others, for the two drivers: Queinfotech aabid → Yas Island Resort; Queinfotech aabid → Al Maryah Tower; Queinfotech mahedi → Al Maryah Tower.</t>
  </si>
  <si>
    <t>- Aabid is linked to two properties: his home, Yas Island Resort, and Al Maryah Tower. Mahedi is linked to Al Maryah Tower only.
- The Al Maryah Tower link for Aabid is what lets one booking reach both drivers; the only Patrol is based there. The offer list is built from these links. The HomeProperty column on DriversMaster plays no part in it.
- Record the rows you actually have.</t>
  </si>
  <si>
    <t>S-05</t>
  </si>
  <si>
    <t>1. Open VehicleMaster and compare with the 'Baseline data' sheet.
2. Write in Notes every other vehicle still in the list, with its type and property.</t>
  </si>
  <si>
    <t>- AUH-11223: Patrol, White Nissan Patrol, Al Maryah Tower, Available, default driver Queinfotech mahedi.
- AUH-01234: Cargo Van, Blue Ford Transit, Khalifa Industrial Park, Available, default driver Queinfotech aabid.
- No other Patrol is based at Al Maryah Tower. (If one is, set its VehStatus to Under Maintenance for the duration of testing.)</t>
  </si>
  <si>
    <t>S-06</t>
  </si>
  <si>
    <t>1. Open AvailabilityBlocks.</t>
  </si>
  <si>
    <t>No row for either driver or either vehicle that covers today. Delete or shorten any that do.</t>
  </si>
  <si>
    <t>S-07</t>
  </si>
  <si>
    <t>Open trips</t>
  </si>
  <si>
    <t>1. Open TripAssignments and filter TripStatus to Assigned, En Route, In Transit.</t>
  </si>
  <si>
    <t>No open trips. If any exist, set their TripStatus to Cancelled by hand. An open trip holds its driver and vehicle and changes every result below.</t>
  </si>
  <si>
    <t>S-08</t>
  </si>
  <si>
    <t>List permissions</t>
  </si>
  <si>
    <t>1. Check what each group can do on the lists.</t>
  </si>
  <si>
    <t>- FM Drivers: Contribute on TransportRequests, RideOffers, TripAssignments, TripStatusHistory, DriversMaster, VehicleMaster. Accepting a trip writes to all six as the driver.
- FM Requesters: add and edit on TransportRequests, RideOffers and TripStatusHistory, and read on DriversMaster, VehicleMaster, DLClientMaster, AvailabilityBlocks, TripAssignments, AllocationRules, Locations, VehicleTypes. The offers are created in the requester's browser.
- Record what is actually set.</t>
  </si>
  <si>
    <t>S-09</t>
  </si>
  <si>
    <t>Pages load</t>
  </si>
  <si>
    <t>ALIAKBAR</t>
  </si>
  <si>
    <t>Console open (F12).</t>
  </si>
  <si>
    <t>1. Open Book a Ride, My Bookings, Dispatch Dashboard and Fleet Reports.
2. Press Ctrl+F5 on each.</t>
  </si>
  <si>
    <t>All four show their heading and content with no red banner and no red console errors. The five .js bundles load with status 200.</t>
  </si>
  <si>
    <t>S-10</t>
  </si>
  <si>
    <t>Aliakbar is not a driver</t>
  </si>
  <si>
    <t>1. Open the Driver Dashboard page.</t>
  </si>
  <si>
    <t>'You are not set up as a driver', with the explanation that the account is not linked to a DriversMaster record.</t>
  </si>
  <si>
    <t>S-11</t>
  </si>
  <si>
    <t>Driver pages load</t>
  </si>
  <si>
    <t>AABID + MAHEDI</t>
  </si>
  <si>
    <t>1. Each driver opens the Driver Dashboard.</t>
  </si>
  <si>
    <t>- Aabid: caption 'Signed in as Queinfotech aabid. Offers refresh automatically.'
- Mahedi: 'Signed in as Queinfotech mahedi...'.
- Both: buttons 'Sound: off' and 'Refresh now'; 'No open offers'; 'No trips assigned to you right now'; no red banner.</t>
  </si>
  <si>
    <t>S-12</t>
  </si>
  <si>
    <t>Clear the old requests</t>
  </si>
  <si>
    <t>FB-0020 and FB-0021 (booked by Noreply Myhub) are still Broadcasting from last week.</t>
  </si>
  <si>
    <t>1. Open Dispatch and find them in Pending requests.
2. Click Cancel on FB-0021, type 'test clean-up', confirm.
3. Do the same for FB-0020.</t>
  </si>
  <si>
    <t>- Each leaves the grid; ReqStatus becomes Cancelled with the reason; any Pending offers become Withdrawn.
- FB-0020 still points to trip TR-0003. If a red banner appears while cancelling it, check whether TR-0003 still exists in TripAssignments and record what you find.
- Pending requests now reads 0.</t>
  </si>
  <si>
    <t>S-13</t>
  </si>
  <si>
    <t>Empty My Bookings</t>
  </si>
  <si>
    <t>Medium</t>
  </si>
  <si>
    <t>Aliakbar has not booked anything yet.</t>
  </si>
  <si>
    <t>1. Open My Bookings.</t>
  </si>
  <si>
    <t>'You have not booked anything yet'. The three requests booked by Noreply Myhub are not shown. (If Aliakbar already has bookings, they are listed instead; mark N/A.)</t>
  </si>
  <si>
    <t>S-14</t>
  </si>
  <si>
    <t>Smoke test of the whole chain</t>
  </si>
  <si>
    <t>ALIAKBAR + drivers</t>
  </si>
  <si>
    <t>Baseline. All three sessions open; both drivers on the Driver Dashboard.</t>
  </si>
  <si>
    <t>1. Aliakbar books the standard booking (see Start Here).
2. Watch both driver screens for 20 seconds.
3. Aliakbar opens Dispatch and Cancels the request with 'smoke test'.
4. Watch both driver screens for 20 seconds.</t>
  </si>
  <si>
    <t>- Aliakbar sees 'Your request has been received' with a reference (FB-0022 or higher).
- Both drivers get a banner '1 open ride offer waiting for you' and a card with a countdown near 15 minutes.
- After the cancel both cards disappear. In RideOffers both offers read Withdrawn.
- If this works, booking, allocation, the driver page and Dispatch are all wired up correctly.</t>
  </si>
  <si>
    <t>Book a Ride</t>
  </si>
  <si>
    <t>The booking wizard, screen by screen. Sign in as Aliakbar unless the step says otherwise.</t>
  </si>
  <si>
    <t>B-01</t>
  </si>
  <si>
    <t>Load</t>
  </si>
  <si>
    <t>1. Open Book a Ride.</t>
  </si>
  <si>
    <t>- Heading 'Book a ride', caption 'Four steps. Everything is a choice from a list, so nothing can be mistyped.'
- Steps Where, When, Request type, Vehicle. Back disabled. Button 'Continue'. No pickup pre-selected (Aliakbar has no home property).</t>
  </si>
  <si>
    <t>B-02</t>
  </si>
  <si>
    <t>Step 1 - list</t>
  </si>
  <si>
    <t>1. Click in Destination with nothing typed.</t>
  </si>
  <si>
    <t>12 locations with their addresses. 'Old Depot (closed)' is not listed (inactive).</t>
  </si>
  <si>
    <t>B-03</t>
  </si>
  <si>
    <t>Step 1 - search</t>
  </si>
  <si>
    <t>1. Type: yas
2. Clear; type: mussafah
3. Clear; type: airport</t>
  </si>
  <si>
    <t>- yas: Yas Mall, Yas Resort Reception, Yas Staff Accommodation.
- mussafah: Central Warehouse only (matched on address).
- airport: Zayed International Airport T1 and T3.</t>
  </si>
  <si>
    <t>B-04</t>
  </si>
  <si>
    <t>Step 1 - typed text is never the answer</t>
  </si>
  <si>
    <t>1. Type: zzzz
2. Click Continue without choosing anything.</t>
  </si>
  <si>
    <t>'No location matches that. Try a shorter search.' Continue is refused with 'Choose a pickup point.'</t>
  </si>
  <si>
    <t>B-05</t>
  </si>
  <si>
    <t>Step 1 - validation</t>
  </si>
  <si>
    <t>1. Choose Head Office for pickup only; Continue.
2. Choose Head Office for destination too; Continue.</t>
  </si>
  <si>
    <t>'Choose a destination.' then 'The pickup point and the destination are the same.'</t>
  </si>
  <si>
    <t>B-06</t>
  </si>
  <si>
    <t>Step 1 - cross property</t>
  </si>
  <si>
    <t>1. Pickup Head Office, destination Yas Mall; Continue.</t>
  </si>
  <si>
    <t>Accepted. The trip belongs to the pickup's property.</t>
  </si>
  <si>
    <t>B-07</t>
  </si>
  <si>
    <t>Step 2 - slots</t>
  </si>
  <si>
    <t>Step 1 done.</t>
  </si>
  <si>
    <t>1. Read the slot grid for Today.</t>
  </si>
  <si>
    <t>48 slots, 30 minutes apart, 24-hour Gulf time. Every slot earlier than now + 15 minutes is disabled.</t>
  </si>
  <si>
    <t>B-08</t>
  </si>
  <si>
    <t>Step 2 - validation</t>
  </si>
  <si>
    <t>1. Click Continue with no slot chosen.</t>
  </si>
  <si>
    <t>'Choose a time.'</t>
  </si>
  <si>
    <t>B-09</t>
  </si>
  <si>
    <t>Step 2 - another day</t>
  </si>
  <si>
    <t>1. Click 'Another day'; pick tomorrow.
2. Pick yesterday.</t>
  </si>
  <si>
    <t>Tomorrow: a Date field appears and all 48 slots are enabled. Yesterday: every slot is disabled.</t>
  </si>
  <si>
    <t>B-10</t>
  </si>
  <si>
    <t>Step 2 - toggle clears the slot</t>
  </si>
  <si>
    <t>1. Choose a slot.
2. Click 'Another day', then 'Today'.
3. Continue.</t>
  </si>
  <si>
    <t>The slot is cleared; 'Choose a time.'</t>
  </si>
  <si>
    <t>B-11</t>
  </si>
  <si>
    <t>Step 2 - time zone</t>
  </si>
  <si>
    <t>Set the PC time zone to India or UTC.</t>
  </si>
  <si>
    <t>1. Reload; go to step 2.</t>
  </si>
  <si>
    <t>Slot labels and the cut-off are still Gulf time.</t>
  </si>
  <si>
    <t>PC time zone.</t>
  </si>
  <si>
    <t>B-12</t>
  </si>
  <si>
    <t>Step 3 - tiles</t>
  </si>
  <si>
    <t>Step 2 done.</t>
  </si>
  <si>
    <t>1. Read the tiles.
2. Continue without choosing.</t>
  </si>
  <si>
    <t>Client or Client Guest, Staff, Items or Documents, each with a caption. 'Choose a request type.'</t>
  </si>
  <si>
    <t>B-13</t>
  </si>
  <si>
    <t>Step 4 - Client</t>
  </si>
  <si>
    <t>Request type Client or Client Guest.</t>
  </si>
  <si>
    <t>1. Go to step 4.</t>
  </si>
  <si>
    <t>Patrol (Up to 7 people), Pathfinder (Up to 7 people), Kicks / Creta (Up to 5 people), Others.</t>
  </si>
  <si>
    <t>B-14</t>
  </si>
  <si>
    <t>Step 4 - Staff</t>
  </si>
  <si>
    <t>Request type Staff.</t>
  </si>
  <si>
    <t>Patrol, Kicks / Creta, Others. Pathfinder is not offered to Staff.</t>
  </si>
  <si>
    <t>B-15</t>
  </si>
  <si>
    <t>Step 4 - Items</t>
  </si>
  <si>
    <t>Request type Items or Documents.</t>
  </si>
  <si>
    <t>Cargo Van, Chiller Van, Hot and Cold Van, Animal Van, Others. A 'What is being moved?' dropdown (Documents, Parcel, Equipment, Medical, Food, Other) and a notes box replace the passenger count.</t>
  </si>
  <si>
    <t>B-16</t>
  </si>
  <si>
    <t>Step 4 - type change clears vehicle</t>
  </si>
  <si>
    <t>On step 4 with a tile chosen.</t>
  </si>
  <si>
    <t>1. Back; choose another request type; Continue; Submit request.</t>
  </si>
  <si>
    <t>'Choose a vehicle type.'</t>
  </si>
  <si>
    <t>B-17</t>
  </si>
  <si>
    <t>Step 4 - Others</t>
  </si>
  <si>
    <t>1. Choose Others.
2. Leave the new field empty; Submit request.</t>
  </si>
  <si>
    <t>A field 'What kind of vehicle do you need?' appears only for Others. Empty text: 'Describe the vehicle you need.'</t>
  </si>
  <si>
    <t>B-18</t>
  </si>
  <si>
    <t>Step 4 - passengers</t>
  </si>
  <si>
    <t>Staff, Patrol.</t>
  </si>
  <si>
    <t>1. Clear passengers; Submit.
2. Enter 0; Submit.</t>
  </si>
  <si>
    <t>Both: 'Enter how many people are travelling.'</t>
  </si>
  <si>
    <t>B-19</t>
  </si>
  <si>
    <t>Step 4 - capacity</t>
  </si>
  <si>
    <t>Staff, Patrol (capacity 7).</t>
  </si>
  <si>
    <t>1. Enter 12 passengers; Submit.</t>
  </si>
  <si>
    <t>The hint says the number is checked against the vehicle's capacity. Record whether 12 is refused or accepted.</t>
  </si>
  <si>
    <t>Cancel the request from Dispatch if it was created.</t>
  </si>
  <si>
    <t>B-20</t>
  </si>
  <si>
    <t>Step 4 - items</t>
  </si>
  <si>
    <t>Items or Documents, Cargo Van.</t>
  </si>
  <si>
    <t>1. Leave 'What is being moved?' on 'Choose one'; Submit.</t>
  </si>
  <si>
    <t>'Choose what is being moved.'</t>
  </si>
  <si>
    <t>B-21</t>
  </si>
  <si>
    <t>Step 4 - lengths</t>
  </si>
  <si>
    <t>Low</t>
  </si>
  <si>
    <t>1. Paste very long text into Remarks, item notes and the Others field.</t>
  </si>
  <si>
    <t>Remarks and item notes stop at 500 characters; Others at 255.</t>
  </si>
  <si>
    <t>B-22</t>
  </si>
  <si>
    <t>Navigation</t>
  </si>
  <si>
    <t>On step 4, all filled in.</t>
  </si>
  <si>
    <t>1. Back to step 1; Continue to step 4.</t>
  </si>
  <si>
    <t>Every earlier choice is kept. Finished steps show a tick and '(done)'.</t>
  </si>
  <si>
    <t>B-23</t>
  </si>
  <si>
    <t>Submit - standard booking</t>
  </si>
  <si>
    <t>Baseline.</t>
  </si>
  <si>
    <t>1. Book: pickup Head Office, destination Reem Island Office, Today, a slot within 4 hours, Staff, Patrol, 2 passengers, remark 'test'.
2. Click Submit request.
3. Open the new row in TransportRequests.</t>
  </si>
  <si>
    <t>- Button 'Submitting…', then 'Your request has been received' with reference FB-00nn.
- Row: Title = the reference, matching the item ID; Requester = Aliakbar; Property = Al Maryah Tower; Priority Normal; NoOfPax 2; vehicle type Patrol; Remarks 'test'; required time in UTC (4 hours behind what you chose); ReqStatus Broadcasting.</t>
  </si>
  <si>
    <t>Leave it for the next steps.</t>
  </si>
  <si>
    <t>B-24</t>
  </si>
  <si>
    <t>Screen 5 - broadcasting</t>
  </si>
  <si>
    <t>Straight after B-23.</t>
  </si>
  <si>
    <t>1. Stay on the screen for 20 seconds.</t>
  </si>
  <si>
    <t>Request received — done; Finding a vehicle — done; Matching a driver — in progress.</t>
  </si>
  <si>
    <t>B-25</t>
  </si>
  <si>
    <t>Screen 7 - no driver yet</t>
  </si>
  <si>
    <t>Still on screen 5; nobody has accepted.</t>
  </si>
  <si>
    <t>1. Click 'Track this request'.</t>
  </si>
  <si>
    <t>'No driver has accepted yet. You will be e-mailed as soon as one does.'</t>
  </si>
  <si>
    <t>B-26</t>
  </si>
  <si>
    <t>Screen 6 - confirmed</t>
  </si>
  <si>
    <t>ALIAKBAR + AABID</t>
  </si>
  <si>
    <t>Book the standard booking again and stay on screen 5.</t>
  </si>
  <si>
    <t>1. Aabid clicks Accept on his card.
2. Watch Aliakbar's screen for 10 seconds.</t>
  </si>
  <si>
    <t>- It moves to 'Booking confirmed' on its own.
- 'Your trip': reference, when, Head Office, Reem Island Office, Staff.
- 'Your driver': Queinfotech aabid, +971 50 123 4567 as a tap-to-call link, White Nissan Patrol, plate AUH-11223, vehicle type Patrol.</t>
  </si>
  <si>
    <t>B-27</t>
  </si>
  <si>
    <t>Screen 7 - track</t>
  </si>
  <si>
    <t>On Booking confirmed.</t>
  </si>
  <si>
    <t>1. Click 'Track my ride'.
2. Aabid taps On my way (reading 50000), Picked up, Complete (50042).</t>
  </si>
  <si>
    <t>Timeline: Booking confirmed, Driver on the way, On the way to your destination, Trip completed, each marked Done / Now / To come with a time. The driver and vehicle card stays on screen. Each tap shows within about 10 seconds.</t>
  </si>
  <si>
    <t>B-28</t>
  </si>
  <si>
    <t>Start over</t>
  </si>
  <si>
    <t>On screen 6 or 7.</t>
  </si>
  <si>
    <t>1. Click 'Book another ride'.</t>
  </si>
  <si>
    <t>Step 1 with everything cleared.</t>
  </si>
  <si>
    <t>B-29</t>
  </si>
  <si>
    <t>Screen 5 - escalated</t>
  </si>
  <si>
    <t>Set AUH-11223 VehStatus = Under Maintenance.</t>
  </si>
  <si>
    <t>1. Book the standard booking; stay on screen 5 for 20 seconds.</t>
  </si>
  <si>
    <t>Amber notice: no driver was free, it has gone to the Transportation Coordinator, and the booking has not been lost.</t>
  </si>
  <si>
    <t>AUH-11223 back to Available. Cancel the request from Dispatch.</t>
  </si>
  <si>
    <t>B-30</t>
  </si>
  <si>
    <t>Submit - items</t>
  </si>
  <si>
    <t>1. Book: pickup Central Warehouse, destination Head Office, today, Items or Documents, Cargo Van, item Medical, a note.
2. Open the row.</t>
  </si>
  <si>
    <t>ItemDescription Medical and ItemNotes saved; NoOfPax empty. (It goes to Awaiting Coordinator: no Cargo Van is based at Al Maryah Tower.)</t>
  </si>
  <si>
    <t>Cancel it from Dispatch.</t>
  </si>
  <si>
    <t>B-31</t>
  </si>
  <si>
    <t>Submit - Others</t>
  </si>
  <si>
    <t>1. Book any pickup with a property, vehicle type Others, text 'Flatbed truck'.
2. Open the row; open it in My Bookings.</t>
  </si>
  <si>
    <t>OtherVehicleText 'Flatbed truck'. My Bookings shows 'Others (Flatbed truck)'.</t>
  </si>
  <si>
    <t>B-32</t>
  </si>
  <si>
    <t>Submit - pickup with no property</t>
  </si>
  <si>
    <t>Zayed International Airport T1 and T3, Cleveland Clinic Abu Dhabi and Downtown Abu Dhabi have no Property.</t>
  </si>
  <si>
    <t>1. Book: pickup Zayed International Airport T1, destination Head Office, today, Client or Client Guest, Patrol.
2. Submit.
3. Check TransportRequests.</t>
  </si>
  <si>
    <t>- Red banner: 'This booking has no property, so no driver could be found for it. Choose a pickup point that belongs to a property, or ask a Fleet Admin to set the Property column on the Locations list.'
- No row is created. Airport, clinic and downtown pickups are impossible for a normal requester until those locations are given a Property.</t>
  </si>
  <si>
    <t>B-33</t>
  </si>
  <si>
    <t>Submit - same pickup, booked by a driver</t>
  </si>
  <si>
    <t>AABID</t>
  </si>
  <si>
    <t>Aabid's home property is Yas Island Resort.</t>
  </si>
  <si>
    <t>1. Aabid opens Book a Ride and reads the default pickup.
2. He books the same airport pickup.
3. Open the row.</t>
  </si>
  <si>
    <t>- A pickup is pre-selected from Yas Island Resort (his home property). Record which of the three Yas locations is shown; the code takes the first in alphabetical order, which is Yas Mall.
- The airport booking is accepted and filed under Property Yas Island Resort, because a login with a home property falls back to it. The same booking is refused for Aliakbar.
- It goes to Awaiting Coordinator: no Patrol is based at Yas Island Resort.</t>
  </si>
  <si>
    <t>Cancel the request from Dispatch.</t>
  </si>
  <si>
    <t>B-34</t>
  </si>
  <si>
    <t>Failure</t>
  </si>
  <si>
    <t>1. Set the browser Offline in DevTools; Submit; go back online.</t>
  </si>
  <si>
    <t>Red banner saying the change could not be saved and nothing was saved. The form stays filled in.</t>
  </si>
  <si>
    <t>Booking results</t>
  </si>
  <si>
    <t>What the engine does after Submit. Change the master data as the step says, book as Aliakbar, check RideOffers and the browser console, then put the data back.</t>
  </si>
  <si>
    <t>A-01</t>
  </si>
  <si>
    <t>Both drivers offered</t>
  </si>
  <si>
    <t>1. Open the console.
2. Book the standard booking.
3. Open the request row and RideOffers.</t>
  </si>
  <si>
    <t>- ReqStatus Broadcasting. OfferClosesAt = submit time + 15 minutes.
- Two Pending offers: FB-00nn-D018 (Queinfotech aabid) and FB-00nn-D019 (Queinfotech mahedi). Vehicle column empty; the vehicle is bound when someone accepts.</t>
  </si>
  <si>
    <t>Cancel from Dispatch.</t>
  </si>
  <si>
    <t>A-02</t>
  </si>
  <si>
    <t>Not qualified</t>
  </si>
  <si>
    <t>Aabid: remove Patrol from QualifiedVehicleTypes.</t>
  </si>
  <si>
    <t>1. Book the standard booking.</t>
  </si>
  <si>
    <t>One offer only, for Queinfotech mahedi.</t>
  </si>
  <si>
    <t>Put Patrol back on Aabid. Cancel the request.</t>
  </si>
  <si>
    <t>A-03</t>
  </si>
  <si>
    <t>Nobody qualified</t>
  </si>
  <si>
    <t>Remove Patrol from both drivers' QualifiedVehicleTypes.</t>
  </si>
  <si>
    <t>1. Book the standard booking.
2. Read the console.</t>
  </si>
  <si>
    <t>- Awaiting Coordinator at once; OfferClosesAt = submit time; no offers.
- Console: '[FleetPortal] FB-00nn escalated to the Coordinator' with a line per driver ending 'not qualified for the requested vehicle type'.</t>
  </si>
  <si>
    <t>Put Patrol back on both. Cancel the request.</t>
  </si>
  <si>
    <t>A-04</t>
  </si>
  <si>
    <t>No qualifications at all</t>
  </si>
  <si>
    <t>Aabid: clear QualifiedVehicleTypes completely. Mahedi: remove Patrol.</t>
  </si>
  <si>
    <t>1. Book the standard booking; read the console.</t>
  </si>
  <si>
    <t>Escalates. Aabid's console line reads 'QualifiedVehicleTypes is empty'.</t>
  </si>
  <si>
    <t>Restore both drivers' qualifications. Cancel the request.</t>
  </si>
  <si>
    <t>A-05</t>
  </si>
  <si>
    <t>Not linked to the property</t>
  </si>
  <si>
    <t>Delete Aabid's DLClientMaster row for Al Maryah Tower (keep his Yas Island Resort row).</t>
  </si>
  <si>
    <t>1. Book the standard booking; read RideOffers.</t>
  </si>
  <si>
    <t>Offer for Mahedi only. Aabid is no longer allocated to Al Maryah Tower, so he is not offered trips that start there.</t>
  </si>
  <si>
    <t>Re-create Aabid's link to Al Maryah Tower. Cancel the request.</t>
  </si>
  <si>
    <t>A-06</t>
  </si>
  <si>
    <t>On leave - with a Leave block</t>
  </si>
  <si>
    <t>AvailabilityBlocks: add a row, Driver = Queinfotech aabid, BlockType Leave, from yesterday to next week.</t>
  </si>
  <si>
    <t>Offer for Mahedi only.</t>
  </si>
  <si>
    <t>Delete the block. Cancel the request.</t>
  </si>
  <si>
    <t>A-07</t>
  </si>
  <si>
    <t>On leave - Status only</t>
  </si>
  <si>
    <t>Aabid: set Status = On Leave. No AvailabilityBlocks row.</t>
  </si>
  <si>
    <t>A driver on leave must not be offered work, so only Mahedi should get an offer. Record whether Aabid is offered it too.</t>
  </si>
  <si>
    <t>Aabid Status back to Available. Cancel the request.</t>
  </si>
  <si>
    <t>A-08</t>
  </si>
  <si>
    <t>Shift block does not exclude</t>
  </si>
  <si>
    <t>AvailabilityBlocks: add a row for Mahedi, BlockType Shift, covering today.</t>
  </si>
  <si>
    <t>Both drivers are offered it.</t>
  </si>
  <si>
    <t>A-09</t>
  </si>
  <si>
    <t>Inactive driver</t>
  </si>
  <si>
    <t>Mahedi: IsActive = No.</t>
  </si>
  <si>
    <t>1. Book the standard booking.
2. Mahedi reloads the Driver Dashboard.</t>
  </si>
  <si>
    <t>Offer for Aabid only.</t>
  </si>
  <si>
    <t>Mahedi IsActive = Yes. Cancel the request.</t>
  </si>
  <si>
    <t>A-10</t>
  </si>
  <si>
    <t>Status Inactive</t>
  </si>
  <si>
    <t>Mahedi: Status = Inactive (IsActive still Yes).</t>
  </si>
  <si>
    <t>Mahedi Status = Available. Cancel the request.</t>
  </si>
  <si>
    <t>A-11</t>
  </si>
  <si>
    <t>Licence expired</t>
  </si>
  <si>
    <t>Aabid: LicenceExpiry = today's date.</t>
  </si>
  <si>
    <t>Offer for Mahedi only. The licence must be valid to the END of the trip (required time + 2 hours).</t>
  </si>
  <si>
    <t>Aabid LicenceExpiry back to 14 Aug 2029. Cancel the request.</t>
  </si>
  <si>
    <t>A-12</t>
  </si>
  <si>
    <t>Vehicle under maintenance</t>
  </si>
  <si>
    <t>AUH-11223: VehStatus = Under Maintenance.</t>
  </si>
  <si>
    <t>Awaiting Coordinator, no offers. Console: 'vehicles of this type at this property: 0, free: 0' and both drivers 'ELIGIBLE'. Drivers were available; the vehicle was not.</t>
  </si>
  <si>
    <t>AUH-11223 back to Available. Cancel the request.</t>
  </si>
  <si>
    <t>A-13</t>
  </si>
  <si>
    <t>Vehicle blocked but still 'Available'</t>
  </si>
  <si>
    <t>AvailabilityBlocks: add a row, Vehicle = AUH-11223, BlockType Maintenance, covering today. Leave VehStatus Available.</t>
  </si>
  <si>
    <t>Awaiting Coordinator. Console: 'vehicles of this type at this property: 1, free: 0'.</t>
  </si>
  <si>
    <t>A-14</t>
  </si>
  <si>
    <t>Vehicle at another property</t>
  </si>
  <si>
    <t>AUH-11223: PropertyRef = Yas Island Resort.</t>
  </si>
  <si>
    <t>1. Book the standard booking (pickup Head Office).</t>
  </si>
  <si>
    <t>Awaiting Coordinator: no Patrol is based at Al Maryah Tower now.</t>
  </si>
  <si>
    <t>AUH-11223 back to Al Maryah Tower. Cancel the request.</t>
  </si>
  <si>
    <t>A-15</t>
  </si>
  <si>
    <t>Driver on two properties</t>
  </si>
  <si>
    <t>AUH-11223: PropertyRef = Yas Island Resort (Aabid is already linked to both properties in the baseline).</t>
  </si>
  <si>
    <t>1. Book: pickup Yas Resort Reception, destination Yas Mall, today, Staff, Patrol.</t>
  </si>
  <si>
    <t>Property Yas Island Resort. Offer for Aabid only: he is linked to both properties, Mahedi only to Al Maryah Tower. Aabid therefore receives offers from two properties, Mahedi from one.</t>
  </si>
  <si>
    <t>A-16</t>
  </si>
  <si>
    <t>Vehicle busy</t>
  </si>
  <si>
    <t>Baseline. Aabid has accepted a standard booking and not completed it.</t>
  </si>
  <si>
    <t>1. Book the standard booking again.</t>
  </si>
  <si>
    <t>Awaiting Coordinator. Mahedi is free, but the only Patrol at Al Maryah Tower is on Aabid's trip.</t>
  </si>
  <si>
    <t>Leave Aabid's trip open for the next step.</t>
  </si>
  <si>
    <t>A-17</t>
  </si>
  <si>
    <t>Driver at cap 1</t>
  </si>
  <si>
    <t>- Aabid still holds his open trip (cap 1).
- AUH-01234: VehicleType = Patrol, PropertyRef = Al Maryah Tower (a second Patrol).</t>
  </si>
  <si>
    <t>Broadcasting. Offer for Mahedi only; Aabid is at his cap of 1.</t>
  </si>
  <si>
    <t>Keep this data for the next step.</t>
  </si>
  <si>
    <t>A-18</t>
  </si>
  <si>
    <t>Driver with cap 2</t>
  </si>
  <si>
    <t>ALIAKBAR + MAHEDI</t>
  </si>
  <si>
    <t>Continue: Mahedi accepts the offer from the previous step (he now holds 1 trip, cap 2). Aabid completes his trip.</t>
  </si>
  <si>
    <t>1. Book the standard booking once more.
2. Read RideOffers.</t>
  </si>
  <si>
    <t>Offers for both: Aabid (free again) and Mahedi (holding 1 of 2).</t>
  </si>
  <si>
    <t>Keep for the next step.</t>
  </si>
  <si>
    <t>A-19</t>
  </si>
  <si>
    <t>Cap lowered</t>
  </si>
  <si>
    <t>Continue: Mahedi still holds one open trip. Set Mahedi's MaxConcurrentTrips = 1. Cancel the request from the previous step.</t>
  </si>
  <si>
    <t>Mahedi MaxConcurrentTrips = 2. Mahedi completes his trip. AUH-01234 back to Cargo Van at Khalifa Industrial Park. Cancel the request.</t>
  </si>
  <si>
    <t>A-20</t>
  </si>
  <si>
    <t>Advance booking</t>
  </si>
  <si>
    <t>1. Book: pickup Head Office, 'Another day' = tomorrow, any slot, Staff, Patrol.
2. Open the row.</t>
  </si>
  <si>
    <t>ReqStatus Held. ReleaseAt = required time minus 4 hours. No offers. Neither driver sees anything.</t>
  </si>
  <si>
    <t>Keep it for the next two steps.</t>
  </si>
  <si>
    <t>A-21</t>
  </si>
  <si>
    <t>Release and sweep</t>
  </si>
  <si>
    <t>The Held request from A-20.</t>
  </si>
  <si>
    <t>1. In the list set its ReqStatus to Submitted by hand (this is what Flow 5 does).
2. Open Dispatch, or wait up to 60 seconds if it is already open.
3. Check the row and both driver screens.</t>
  </si>
  <si>
    <t>Within one refresh it becomes Broadcasting, with offers for both drivers. Nobody clicked anything: the Dispatch page sweeps up Submitted requests.</t>
  </si>
  <si>
    <t>Keep it for the next step.</t>
  </si>
  <si>
    <t>A-22</t>
  </si>
  <si>
    <t>No duplicate offers</t>
  </si>
  <si>
    <t>The Broadcasting request from the previous step.</t>
  </si>
  <si>
    <t>1. Click Refresh on Dispatch five times.
2. Count its offers.</t>
  </si>
  <si>
    <t>Still two offers.</t>
  </si>
  <si>
    <t>Cancel the request.</t>
  </si>
  <si>
    <t>A-23</t>
  </si>
  <si>
    <t>Advance boundary</t>
  </si>
  <si>
    <t>1. Book for today, a slot a little more than 4 hours away.
2. Book for today, a slot a little less than 4 hours away.</t>
  </si>
  <si>
    <t>The first is Held; the second broadcasts.</t>
  </si>
  <si>
    <t>Cancel both.</t>
  </si>
  <si>
    <t>A-24</t>
  </si>
  <si>
    <t>Manual rule - existing</t>
  </si>
  <si>
    <t>The rule 'Khalifa Industrial Park - Client or Client Guest' is Manual.</t>
  </si>
  <si>
    <t>1. Book: pickup Khalifa Admin Block, today, Client or Client Guest, Patrol.
2. Open the row.</t>
  </si>
  <si>
    <t>Awaiting Coordinator, no offers, and OfferClosesAt is EMPTY: the engine never tried to broadcast.</t>
  </si>
  <si>
    <t>A-25</t>
  </si>
  <si>
    <t>Manual rule - switched</t>
  </si>
  <si>
    <t>AllocationRules: set Mode = Manual on 'Al Maryah Tower - Staff'.</t>
  </si>
  <si>
    <t>Awaiting Coordinator with no offers, although both drivers and the vehicle are free.</t>
  </si>
  <si>
    <t>Rule back to Automatic. Cancel the request.</t>
  </si>
  <si>
    <t>A-26</t>
  </si>
  <si>
    <t>Short offer window</t>
  </si>
  <si>
    <t>AllocationRules: set OfferWindowMinutes = 2 on 'Al Maryah Tower - Staff'.</t>
  </si>
  <si>
    <t>1. Book the standard booking.
2. Compare OfferClosesAt with the Created time.</t>
  </si>
  <si>
    <t>OfferClosesAt is 2 minutes after submit. Keep this setting when you want to test expiry quickly (D-25).</t>
  </si>
  <si>
    <t>OfferWindowMinutes back to 15 when finished.</t>
  </si>
  <si>
    <t>A-27</t>
  </si>
  <si>
    <t>Others</t>
  </si>
  <si>
    <t>1. Book any request with vehicle type Others.</t>
  </si>
  <si>
    <t>Awaiting Coordinator. No vehicle is of type Others, so these always go to the Coordinator.</t>
  </si>
  <si>
    <t>A-28</t>
  </si>
  <si>
    <t>Cargo Van at Khalifa</t>
  </si>
  <si>
    <t>AUH-01234 is a Cargo Van at Khalifa Industrial Park.</t>
  </si>
  <si>
    <t>1. Book: pickup Khalifa Plant Gate 2, today, Items or Documents, Cargo Van.</t>
  </si>
  <si>
    <t>Awaiting Coordinator. The vehicle is there, but neither driver is linked to Khalifa Industrial Park or qualified for Cargo Van.</t>
  </si>
  <si>
    <t>A-29</t>
  </si>
  <si>
    <t>Home property is not a link</t>
  </si>
  <si>
    <t>- DLClientMaster: delete Aabid's row for Yas Island Resort (his HomeProperty on DriversMaster stays Yas Island Resort).
- AUH-11223: PropertyRef = Yas Island Resort.</t>
  </si>
  <si>
    <t>1. Open the console.
2. Book: pickup Yas Resort Reception, destination Yas Mall, today, Staff, Patrol.
3. Read the console.</t>
  </si>
  <si>
    <t>- Awaiting Coordinator, no offers, although the vehicle is at Yas and Yas is Aabid's home property.
- Console: 'DLClientMaster rows for this property: 0' and both drivers 'not allocated to this property in DLClientMaster'.
- Changing a driver's HomeProperty alone never changes who is offered a trip; the DLClientMaster row must change too.</t>
  </si>
  <si>
    <t>Re-create Aabid's Yas Island Resort link. AUH-11223 back to Al Maryah Tower. Cancel the request.</t>
  </si>
  <si>
    <t>My Bookings</t>
  </si>
  <si>
    <t>The requester's page. Sign in as Aliakbar.</t>
  </si>
  <si>
    <t>M-01</t>
  </si>
  <si>
    <t>Aliakbar has several bookings from the earlier sheets.</t>
  </si>
  <si>
    <t>- Heading 'My bookings', a Refresh button, grid columns Reference, Required, From and to, Request type, Status, Actions.
- Newest first; the newest is selected automatically and its button reads 'Showing'.
- Every status is a badge with its word.</t>
  </si>
  <si>
    <t>M-02</t>
  </si>
  <si>
    <t>Only my own</t>
  </si>
  <si>
    <t>Aabid has booked at least one ride (B-33).</t>
  </si>
  <si>
    <t>1. Aliakbar opens My Bookings.
2. Aabid opens My Bookings.</t>
  </si>
  <si>
    <t>Each sees only their own requests. Noreply Myhub's FB-0019 to FB-0021 appear for neither.</t>
  </si>
  <si>
    <t>M-03</t>
  </si>
  <si>
    <t>Filter</t>
  </si>
  <si>
    <t>1. Click the Status header; tick Cancelled; Close.
2. Open it again; Clear.
3. Filter Request type to Staff.</t>
  </si>
  <si>
    <t>Only Cancelled rows; header shows '▼ filtered (1)'. Clear restores all. Staff shows only Staff rows.</t>
  </si>
  <si>
    <t>M-04</t>
  </si>
  <si>
    <t>Detail - Broadcasting</t>
  </si>
  <si>
    <t>Book the standard booking; nobody accepts.</t>
  </si>
  <si>
    <t>1. Select it in My Bookings.</t>
  </si>
  <si>
    <t>Required, From Head Office, To Reem Island Office, Staff, Patrol, Passengers 2. Notice 'We have your request and are finding you a driver...'. No driver or vehicle details.</t>
  </si>
  <si>
    <t>M-05</t>
  </si>
  <si>
    <t>Cancel while Broadcasting</t>
  </si>
  <si>
    <t>1. Note the button label.
2. Click it, type a reason, confirm.
3. Check the row, its offers and both driver screens.</t>
  </si>
  <si>
    <t>A request no driver has taken should be cancellable. Record the button label, the message shown, and whether anything changed in any list.</t>
  </si>
  <si>
    <t>M-06</t>
  </si>
  <si>
    <t>Detail - Allocated</t>
  </si>
  <si>
    <t>Book the standard booking; Aabid accepts.</t>
  </si>
  <si>
    <t>1. Select it.</t>
  </si>
  <si>
    <t>- Badge Allocated. 'Your driver and vehicle': Queinfotech aabid, +971 50 123 4567 (link), White Nissan Patrol, plate AUH-11223.
- Progress: Booking confirmed = Now, the other three To come.</t>
  </si>
  <si>
    <t>Keep the trip for the next steps.</t>
  </si>
  <si>
    <t>M-07</t>
  </si>
  <si>
    <t>Ask to cancel</t>
  </si>
  <si>
    <t>The Allocated request above.</t>
  </si>
  <si>
    <t>1. Read the button.
2. Click it; read the dialog; type a reason; click 'Send the request'.
3. Check the request, the trip and TripStatusHistory.</t>
  </si>
  <si>
    <t>- Button 'Ask to cancel'. Dialog 'Ask the Coordinator to cancel?' says only the Coordinator can cancel now.
- Notice: 'A driver has already accepted this trip, so the Transportation Coordinator has been asked to cancel it. Your driver stays assigned until they do.'
- Request still Allocated; trip unchanged; a new TripStatusHistory row 'Cancellation requested by the requester: &lt;reason&gt;'.</t>
  </si>
  <si>
    <t>Keep the trip.</t>
  </si>
  <si>
    <t>M-08</t>
  </si>
  <si>
    <t>Live progress</t>
  </si>
  <si>
    <t>My Bookings open on the Allocated request; do not touch it.</t>
  </si>
  <si>
    <t>1. Aabid taps On my way (50000).
2. Wait up to 30 seconds.
3. Aabid taps Picked up, then Complete (50042).</t>
  </si>
  <si>
    <t>Timeline and grid update by themselves after each tap, with a time on each stage reached.</t>
  </si>
  <si>
    <t>M-09</t>
  </si>
  <si>
    <t>After Complete</t>
  </si>
  <si>
    <t>Straight after the previous step. Flow 3 is not running.</t>
  </si>
  <si>
    <t>1. Read the badge and the buttons.</t>
  </si>
  <si>
    <t>The timeline shows Trip completed, but the request badge still reads Allocated and 'Ask to cancel' is still offered. Only the flow sets the request to Completed. Record what you see.</t>
  </si>
  <si>
    <t>M-10</t>
  </si>
  <si>
    <t>Privacy</t>
  </si>
  <si>
    <t>Any request not yet accepted.</t>
  </si>
  <si>
    <t>1. Read its detail panel.</t>
  </si>
  <si>
    <t>No driver, vehicle or availability information.</t>
  </si>
  <si>
    <t>M-11</t>
  </si>
  <si>
    <t>Cancel - direct</t>
  </si>
  <si>
    <t>A Held request (book for tomorrow).</t>
  </si>
  <si>
    <t>1. Select it; click 'Cancel this booking'.
2. Try to confirm with no reason.
3. Type a reason; click 'Cancel the booking'.
4. Check the row.</t>
  </si>
  <si>
    <t>- Dialog 'Cancel this booking?' with three consequences; confirm is disabled until a reason is typed.
- Green notice 'Your booking was cancelled.' Badge Cancelled. Row: ReqStatus Cancelled, CancellationReason = your text.
- Selecting it again shows 'Cancelled: &lt;reason&gt;' and no cancel button.</t>
  </si>
  <si>
    <t>M-12</t>
  </si>
  <si>
    <t>Cancel - Awaiting Coordinator</t>
  </si>
  <si>
    <t>AUH-11223 Under Maintenance; book the standard booking (escalates).</t>
  </si>
  <si>
    <t>1. Select it; read the notice and the button.
2. Cancel it with a reason.</t>
  </si>
  <si>
    <t>Amber notice that the Coordinator is assigning someone. Button 'Cancel this booking'. It cancels directly.</t>
  </si>
  <si>
    <t>AUH-11223 back to Available.</t>
  </si>
  <si>
    <t>M-13</t>
  </si>
  <si>
    <t>Cancel dialog</t>
  </si>
  <si>
    <t>Any cancellable request.</t>
  </si>
  <si>
    <t>1. Open the dialog; click in the reason box; click elsewhere.
2. Click Cancel.</t>
  </si>
  <si>
    <t>'A reason is required.' Cancel closes it with no change.</t>
  </si>
  <si>
    <t>M-14</t>
  </si>
  <si>
    <t>Rejected notice</t>
  </si>
  <si>
    <t>A request the Coordinator rejected (C-27).</t>
  </si>
  <si>
    <t>'This request was declined: &lt;reason&gt;'. Badge Rejected. No cancel button.</t>
  </si>
  <si>
    <t>M-15</t>
  </si>
  <si>
    <t>Refresh button</t>
  </si>
  <si>
    <t>1. Change a request's ReqStatus in the list by hand.
2. Click Refresh.</t>
  </si>
  <si>
    <t>The grid shows the new status at once.</t>
  </si>
  <si>
    <t>Put the status back.</t>
  </si>
  <si>
    <t>M-16</t>
  </si>
  <si>
    <t>Web part settings</t>
  </si>
  <si>
    <t>Page editor</t>
  </si>
  <si>
    <t>Edit the page.</t>
  </si>
  <si>
    <t>1. Set history count to 2; change the refresh seconds; reload.</t>
  </si>
  <si>
    <t>Only the 2 newest requests are listed.</t>
  </si>
  <si>
    <t>Restore the settings.</t>
  </si>
  <si>
    <t>Driver Dashboard</t>
  </si>
  <si>
    <t>Keep Aabid's and Mahedi's sessions side by side. Aliakbar books; the drivers act.</t>
  </si>
  <si>
    <t>D-01</t>
  </si>
  <si>
    <t>Offer reaches both</t>
  </si>
  <si>
    <t>Baseline. Both driver pages open and untouched.</t>
  </si>
  <si>
    <t>1. Aliakbar books the standard booking.
2. Time how long until each card appears.</t>
  </si>
  <si>
    <t>Within about 20 seconds, on both screens: a dark banner '1 open ride offer waiting for you. First to accept gets the trip.' and a card. No reload.</t>
  </si>
  <si>
    <t>Keep the offer open.</t>
  </si>
  <si>
    <t>D-02</t>
  </si>
  <si>
    <t>Offer card</t>
  </si>
  <si>
    <t>The open offer.</t>
  </si>
  <si>
    <t>1. Read the card on both screens.</t>
  </si>
  <si>
    <t>- Reference; countdown ticking every second from about 15 minutes.
- 'Reem Island Office from Head Office'; When; Type Staff; Vehicle Patrol; Passengers 2; Requested by &lt;Aliakbar's display name&gt;.
- Accept and Reject buttons. The requester's phone number is not shown.</t>
  </si>
  <si>
    <t>D-03</t>
  </si>
  <si>
    <t>Tab title</t>
  </si>
  <si>
    <t>1. Switch to another browser tab; read the Driver tab's title.</t>
  </si>
  <si>
    <t>'(1) New ride offer'. It returns to the normal title when there are no offers.</t>
  </si>
  <si>
    <t>D-04</t>
  </si>
  <si>
    <t>Sound</t>
  </si>
  <si>
    <t>Speakers on.</t>
  </si>
  <si>
    <t>1. Click 'Sound: off'.
2. Reload.
3. Aliakbar books a second standard booking; wait 20 seconds.</t>
  </si>
  <si>
    <t>A two-tone chime plays when switched on; the button reads 'Sound: on' and stays on after reload. It chimes again when the count rises to 2, and the title reads '(2) New ride offers'.</t>
  </si>
  <si>
    <t>Cancel the second request from Dispatch.</t>
  </si>
  <si>
    <t>D-05</t>
  </si>
  <si>
    <t>Refresh now</t>
  </si>
  <si>
    <t>MAHEDI</t>
  </si>
  <si>
    <t>1. Aliakbar books; Mahedi clicks 'Refresh now' at once.</t>
  </si>
  <si>
    <t>The card appears immediately.</t>
  </si>
  <si>
    <t>D-06</t>
  </si>
  <si>
    <t>Accept</t>
  </si>
  <si>
    <t>Baseline. An open offer from a standard booking is on the driver's screen.</t>
  </si>
  <si>
    <t>1. Aabid clicks Accept.
2. Watch Mahedi's screen for 20 seconds.
3. Check TransportRequests, TripAssignments, RideOffers, DriversMaster, VehicleMaster, TripStatusHistory.</t>
  </si>
  <si>
    <t>- Aabid: button 'Accepting…'; the card moves to My trips today with badge Assigned and the note to tap On my way.
- Mahedi: his card and banner disappear by the next refresh.
- Request: Allocated, AcceptedTrip set.
- Trip: TR-00nn, Assigned, Automatic, IsOverride No, Driver Queinfotech aabid, Vehicle AUH-11223.
- Aabid's offer: Accepted, RespondedOn set, Vehicle AUH-11223. Mahedi's offer: Closed (not Expired).
- Aabid Status On Trip. AUH-11223 VehStatus On Trip.
- History: ToStatus Assigned, 'Accepted from broadcast. Ref &lt;id&gt;'.</t>
  </si>
  <si>
    <t>Keep the trip for the tap steps.</t>
  </si>
  <si>
    <t>D-07</t>
  </si>
  <si>
    <t>On my way - no reading</t>
  </si>
  <si>
    <t>Aabid's trip is Assigned.</t>
  </si>
  <si>
    <t>1. Leave the opening odometer empty; click 'On my way'.</t>
  </si>
  <si>
    <t>Red banner 'Enter the opening odometer reading before tapping On my way.' Trip stays Assigned.</t>
  </si>
  <si>
    <t>D-08</t>
  </si>
  <si>
    <t>Illegal transition</t>
  </si>
  <si>
    <t>The same Assigned trip open in two tabs of Aabid's browser.</t>
  </si>
  <si>
    <t>1. Tab 1: enter 50000; tap 'On my way'.
2. Tab 2 (not refreshed): enter 50000; tap 'On my way'.</t>
  </si>
  <si>
    <t>- Tab 1: badge En Route; button 'Picked up'; no odometer field. Trip: En Route, ActualStartTime = now, OpeningReading 50000. History Assigned to En Route.
- Tab 2: 'A trip that is En Route cannot be set to En Route.' Nothing is written twice.</t>
  </si>
  <si>
    <t>D-09</t>
  </si>
  <si>
    <t>Picked up</t>
  </si>
  <si>
    <t>Trip En Route.</t>
  </si>
  <si>
    <t>1. Click 'Picked up'.</t>
  </si>
  <si>
    <t>Badge In Transit; ActualPickupTime = now; a closing odometer field and 'Complete' appear.</t>
  </si>
  <si>
    <t>D-10</t>
  </si>
  <si>
    <t>Complete - no reading</t>
  </si>
  <si>
    <t>Trip In Transit.</t>
  </si>
  <si>
    <t>1. Click Complete with the reading empty.</t>
  </si>
  <si>
    <t>Red banner 'Enter the closing odometer reading before tapping Complete.'</t>
  </si>
  <si>
    <t>D-11</t>
  </si>
  <si>
    <t>Complete</t>
  </si>
  <si>
    <t>Trip In Transit, opening reading 50000.</t>
  </si>
  <si>
    <t>1. Enter 50042; click Complete.
2. Check the trip, request, Aabid and AUH-11223.</t>
  </si>
  <si>
    <t>- Card moves to Completed today with the finish time and 'Distance 42 km'.
- Trip: Completed, ActualDropTime = now, ClosingReading 50042. History In Transit to Completed.
- The web part stops there by design. With no Flow 3, the request still reads Allocated and Aabid and AUH-11223 still read On Trip.</t>
  </si>
  <si>
    <t>D-12</t>
  </si>
  <si>
    <t>Next booking after Complete</t>
  </si>
  <si>
    <t>Straight after D-11; Aabid and AUH-11223 still read On Trip.</t>
  </si>
  <si>
    <t>Offers for both drivers again. Eligibility is worked out from open trips, not from the Status columns, so the left-over 'On Trip' does not block work.</t>
  </si>
  <si>
    <t>Set Aabid Status and AUH-11223 VehStatus back to Available by hand. Cancel the request.</t>
  </si>
  <si>
    <t>D-13</t>
  </si>
  <si>
    <t>Accept race</t>
  </si>
  <si>
    <t>Baseline. An open offer from a standard booking is on the driver's screen. Both drivers have the card.</t>
  </si>
  <si>
    <t>1. Count down and click Accept on both screens at the same moment.
2. Count TripAssignments rows for the request.
3. Repeat at least five times (complete or cancel the trip between rounds).</t>
  </si>
  <si>
    <t>- Exactly one driver gets the trip, every time.
- The other sees a plain notice 'Taken by another driver. Another driver accepted that trip first. Nothing has been assigned to you.' with Dismiss; the card disappears. No red error banner.
- Exactly one trip row per request; one offer Accepted, the other Closed.</t>
  </si>
  <si>
    <t>Complete or cancel the trip.</t>
  </si>
  <si>
    <t>D-14</t>
  </si>
  <si>
    <t>Accept on a stale card</t>
  </si>
  <si>
    <t>1. Aabid accepts.
2. Within a few seconds, before his page refreshes, Mahedi clicks Accept.</t>
  </si>
  <si>
    <t>Mahedi gets a plain notice ('This offer is no longer open' or 'Taken by another driver') and the card goes. No second trip.</t>
  </si>
  <si>
    <t>Aabid cancels or completes the trip.</t>
  </si>
  <si>
    <t>D-15</t>
  </si>
  <si>
    <t>Double click</t>
  </si>
  <si>
    <t>1. Mahedi double-clicks Accept quickly.
2. Count trips for the request.</t>
  </si>
  <si>
    <t>One trip. The button disables after the first click.</t>
  </si>
  <si>
    <t>Keep the trip for the next step.</t>
  </si>
  <si>
    <t>D-16</t>
  </si>
  <si>
    <t>Which vehicle is bound</t>
  </si>
  <si>
    <t>MAHEDI, then AABID</t>
  </si>
  <si>
    <t>- Mahedi holds the trip from the previous step on AUH-11223; have him complete it.
- AUH-01234: VehicleType = Patrol, PropertyRef = Al Maryah Tower (default driver stays Aabid).</t>
  </si>
  <si>
    <t>1. Aliakbar books the standard booking; Aabid accepts; read the trip's Vehicle.
2. Aabid completes it.
3. Aliakbar books again; Mahedi accepts; read the trip's Vehicle.</t>
  </si>
  <si>
    <t>Aabid is given AUH-01234 and Mahedi AUH-11223: with two free Patrols, each driver gets the one that names them as default driver.</t>
  </si>
  <si>
    <t>Mahedi completes. AUH-01234 back to Cargo Van at Khalifa Industrial Park.</t>
  </si>
  <si>
    <t>D-17</t>
  </si>
  <si>
    <t>No vehicle at the moment of accepting</t>
  </si>
  <si>
    <t>1. Set AUH-11223 VehStatus = Under Maintenance.
2. Aabid clicks Accept.
3. Read the notice word for word.</t>
  </si>
  <si>
    <t>Nothing is assigned; the request stays Broadcasting; the card is removed; a plain notice appears. The cause is that no vehicle is free, so it should not say another driver took the trip. Record the exact wording.</t>
  </si>
  <si>
    <t>D-18</t>
  </si>
  <si>
    <t>Offer closed behind the driver's back</t>
  </si>
  <si>
    <t>1. In RideOffers set Mahedi's offer ResponseStatus = Closed by hand.
2. Mahedi clicks Accept before his page refreshes.</t>
  </si>
  <si>
    <t>'This offer is no longer open'; card removed; no trip.</t>
  </si>
  <si>
    <t>D-19</t>
  </si>
  <si>
    <t>Reject - dialog</t>
  </si>
  <si>
    <t>1. Aabid clicks Reject; read the dialog.</t>
  </si>
  <si>
    <t>'Reject this offer?' with three consequences. Reason is a dropdown: Already on a trip, Vehicle unavailable, Outside my shift, Personal reason, Other. Confirm is disabled until one is chosen.</t>
  </si>
  <si>
    <t>D-20</t>
  </si>
  <si>
    <t>One rejects, the other accepts</t>
  </si>
  <si>
    <t>Reject dialog open on Aabid's screen.</t>
  </si>
  <si>
    <t>1. Aabid chooses 'Outside my shift' and confirms.
2. Check his offer and the request.
3. Mahedi accepts.</t>
  </si>
  <si>
    <t>- Aabid: card and banner go. Offer Rejected, reason 'Outside my shift', RespondedOn set. Request still Broadcasting; Mahedi still has his card.
- Mahedi gets the trip on AUH-11223. Aabid's offer stays Rejected (it is not changed to Closed).</t>
  </si>
  <si>
    <t>Mahedi completes or cancels the trip.</t>
  </si>
  <si>
    <t>D-21</t>
  </si>
  <si>
    <t>Reject - Other</t>
  </si>
  <si>
    <t>1. Mahedi clicks Reject; chooses Other; tries to confirm with no note.
2. Types 'Vehicle has a flat tyre'; confirms.</t>
  </si>
  <si>
    <t>A required 'Please explain' box appears. Offer: RejectionReason Other, RejectionNotes 'Vehicle has a flat tyre'.</t>
  </si>
  <si>
    <t>Keep the request for the next step.</t>
  </si>
  <si>
    <t>D-22</t>
  </si>
  <si>
    <t>Reject - note with a colon</t>
  </si>
  <si>
    <t>The same request; Aabid still has his card.</t>
  </si>
  <si>
    <t>1. Aabid rejects with Other and the note: Late: stuck at the airport
2. Read RejectionNotes.</t>
  </si>
  <si>
    <t>The whole note should be stored. Record what is stored.</t>
  </si>
  <si>
    <t>D-23</t>
  </si>
  <si>
    <t>Everyone has rejected</t>
  </si>
  <si>
    <t>Both drivers have now rejected the same request.</t>
  </si>
  <si>
    <t>1. Read the request's ReqStatus.
2. Look at it on Dispatch and in My Bookings.</t>
  </si>
  <si>
    <t>Nobody is left to accept, so it should reach the Coordinator. Record its status and what Aliakbar is shown. (Only Flow 2 moves it on, after the window closes.)</t>
  </si>
  <si>
    <t>Leave it for C-23.</t>
  </si>
  <si>
    <t>D-24</t>
  </si>
  <si>
    <t>Offer for the other driver only</t>
  </si>
  <si>
    <t>1. Aliakbar books the standard booking.
2. Compare the two driver screens.</t>
  </si>
  <si>
    <t>Mahedi has a card. Aabid has none.</t>
  </si>
  <si>
    <t>D-25</t>
  </si>
  <si>
    <t>Countdown and expiry</t>
  </si>
  <si>
    <t>AllocationRules: OfferWindowMinutes = 2 on 'Al Maryah Tower - Staff' (A-26).</t>
  </si>
  <si>
    <t>1. Aliakbar books the standard booking.
2. Both drivers watch the card without touching it for 3 minutes.
3. Check RideOffers and the request.</t>
  </si>
  <si>
    <t>- The countdown is highlighted as urgent from 60 seconds. At 0 Accept is disabled.
- On the next refresh the card disappears and the page says 'No open offers'.
- In the lists both offers still read Pending and the request still reads Broadcasting. Nothing closes them without Flow 2.</t>
  </si>
  <si>
    <t>OfferWindowMinutes back to 15. Cancel the request.</t>
  </si>
  <si>
    <t>D-26</t>
  </si>
  <si>
    <t>Cancel trip</t>
  </si>
  <si>
    <t>Mahedi has accepted a standard booking; trip Assigned.</t>
  </si>
  <si>
    <t>1. Click 'Cancel trip'; read the dialog.
2. Type a reason; click 'Cancel the trip'.
3. Check the trip, request, Mahedi, AUH-11223, history.
4. Look at Dispatch and Aliakbar's My Bookings.</t>
  </si>
  <si>
    <t>- 'Cancel this trip?' with four consequences; reason required. The card disappears.
- Trip: Cancelled, CancellationReason = his text.
- Request: Awaiting Coordinator (not Cancelled, and not offered again automatically).
- Mahedi Available; AUH-11223 Available. History 'Cancelled by the driver: &lt;reason&gt;'.
- Dispatch pins it with an amber edge; My Bookings says the Coordinator is assigning someone.</t>
  </si>
  <si>
    <t>Leave it for C-24.</t>
  </si>
  <si>
    <t>D-27</t>
  </si>
  <si>
    <t>Cancel while In Transit</t>
  </si>
  <si>
    <t>Aabid has a trip that is In Transit.</t>
  </si>
  <si>
    <t>1. Use 'Cancel trip'.</t>
  </si>
  <si>
    <t>Record whether a trip with the passenger on board can be cancelled by the driver, and what happens to the request.</t>
  </si>
  <si>
    <t>D-28</t>
  </si>
  <si>
    <t>Closing below opening</t>
  </si>
  <si>
    <t>Aabid has a trip In Transit with opening reading 50000.</t>
  </si>
  <si>
    <t>1. Enter 49000; click Complete.</t>
  </si>
  <si>
    <t>A closing reading below the opening one should be refused. Record whether it is accepted and the distance shown.</t>
  </si>
  <si>
    <t>D-29</t>
  </si>
  <si>
    <t>Odometer input</t>
  </si>
  <si>
    <t>Mahedi has a trip waiting for a reading.</t>
  </si>
  <si>
    <t>1. Try letters, 12.9 and -5.</t>
  </si>
  <si>
    <t>Letters cannot be typed. Record what is stored for 12.9 and whether -5 is accepted.</t>
  </si>
  <si>
    <t>D-30</t>
  </si>
  <si>
    <t>Assigned by the Coordinator</t>
  </si>
  <si>
    <t>Aliakbar assigns a request to Mahedi from Dispatch (C-11).</t>
  </si>
  <si>
    <t>1. Mahedi opens the Driver Dashboard.</t>
  </si>
  <si>
    <t>The trip is already under My trips today as Assigned. There was no offer card and no Accept step.</t>
  </si>
  <si>
    <t>D-31</t>
  </si>
  <si>
    <t>Two trips at once</t>
  </si>
  <si>
    <t>- AUH-01234: VehicleType = Patrol, PropertyRef = Al Maryah Tower.
- Mahedi (cap 2) accepts two standard bookings, one after the other.</t>
  </si>
  <si>
    <t>1. Open Mahedi's Driver Dashboard.
2. Type a reading on one card only.</t>
  </si>
  <si>
    <t>Two trip cards, earliest required time first, one on AUH-11223 and one on AUH-01234. Each card has its own odometer field.</t>
  </si>
  <si>
    <t>Mahedi completes both. AUH-01234 back to Cargo Van at Khalifa Industrial Park.</t>
  </si>
  <si>
    <t>D-32</t>
  </si>
  <si>
    <t>A driver's own booking</t>
  </si>
  <si>
    <t>1. Aabid books the standard booking himself.
2. He opens his Driver Dashboard.</t>
  </si>
  <si>
    <t>Record whether Aabid is offered his own request and whether he can accept it.</t>
  </si>
  <si>
    <t>D-33</t>
  </si>
  <si>
    <t>Driver page open.</t>
  </si>
  <si>
    <t>1. Go Offline in DevTools; wait for a refresh; click a button.
2. Go back online.</t>
  </si>
  <si>
    <t>Red banner naming what failed and what to do, with a 'Reference:' id, dismissable. Recovers on the next refresh.</t>
  </si>
  <si>
    <t>D-34</t>
  </si>
  <si>
    <t>Phone</t>
  </si>
  <si>
    <t>A real phone signed in as Mahedi.</t>
  </si>
  <si>
    <t>1. Run a whole trip on the phone: accept, On my way, Picked up, Complete.</t>
  </si>
  <si>
    <t>No sideways scrolling; buttons and the odometer field are easy to use.</t>
  </si>
  <si>
    <t>Dispatch Dashboard</t>
  </si>
  <si>
    <t>The Coordinator's page. Sign in as Aliakbar.</t>
  </si>
  <si>
    <t>C-01</t>
  </si>
  <si>
    <t>Baseline, nothing pending.</t>
  </si>
  <si>
    <t>1. Open Dispatch.</t>
  </si>
  <si>
    <t>Caption 'Last refreshed hh:mm. Counters filter the grids below.' Six counters, Ongoing trips, Pending requests, Availability tabs.</t>
  </si>
  <si>
    <t>C-02</t>
  </si>
  <si>
    <t>Counters at rest</t>
  </si>
  <si>
    <t>Baseline, nothing pending, no open trips.</t>
  </si>
  <si>
    <t>1. Read the counters.</t>
  </si>
  <si>
    <t>- Ongoing trips 0. Pending requests 0. Allocated pairs 0.
- Available drivers 2.
- Available vehicles = every vehicle not under maintenance or retired (2 if only AUH-11223 and AUH-01234 remain; record the number).
- Completed trips = trips completed this month; record it.</t>
  </si>
  <si>
    <t>C-03</t>
  </si>
  <si>
    <t>Availability - drivers</t>
  </si>
  <si>
    <t>1. Open the Drivers tab.</t>
  </si>
  <si>
    <t>'Drivers (2)': Queinfotech aabid, Available, None, cap 1, Yas Island Resort; Queinfotech mahedi, Available, None, cap 2, Al Maryah Tower. Drivers set to IsActive = No are not listed.</t>
  </si>
  <si>
    <t>C-04</t>
  </si>
  <si>
    <t>Availability - vehicles</t>
  </si>
  <si>
    <t>1. Open the Vehicles tab.</t>
  </si>
  <si>
    <t>AUH-01234 Blue Ford Transit, Cargo Van, Available; AUH-11223 White Nissan Patrol, Patrol, Available; current task None.</t>
  </si>
  <si>
    <t>C-05</t>
  </si>
  <si>
    <t>Pending grid</t>
  </si>
  <si>
    <t>Book the standard booking.</t>
  </si>
  <si>
    <t>1. Read the Pending requests grid and the counters.</t>
  </si>
  <si>
    <t>Row: reference · date and time · Staff · Patrol · badge Broadcasting · Assign, Reject, Cancel. Pending requests 1.</t>
  </si>
  <si>
    <t>Keep the request.</t>
  </si>
  <si>
    <t>C-06</t>
  </si>
  <si>
    <t>Counters as filters</t>
  </si>
  <si>
    <t>One pending request.</t>
  </si>
  <si>
    <t>1. Click 'Ongoing trips'; click again.
2. Click 'Pending requests'; click again.
3. Click 'Available drivers'; then 'Available vehicles'.</t>
  </si>
  <si>
    <t>Ongoing hides the Pending grid; Pending hides the Ongoing grid; a second click restores. The driver and vehicle counters switch the Availability tab.</t>
  </si>
  <si>
    <t>C-07</t>
  </si>
  <si>
    <t>Counters that do not filter</t>
  </si>
  <si>
    <t>1. Click 'Completed trips'; then 'Allocated pairs'.</t>
  </si>
  <si>
    <t>The design says every counter filters the grids. Record what changes.</t>
  </si>
  <si>
    <t>C-08</t>
  </si>
  <si>
    <t>Completed period</t>
  </si>
  <si>
    <t>1. Choose 'Last 2 months'.
2. Read the dropdown label.
3. Try to go back to 'This month'.</t>
  </si>
  <si>
    <t>It should show the chosen option and allow going back. Record what it shows.</t>
  </si>
  <si>
    <t>C-09</t>
  </si>
  <si>
    <t>Column filters</t>
  </si>
  <si>
    <t>Two or three pending requests of different types.</t>
  </si>
  <si>
    <t>1. Click the Request type header; tick Staff; press Escape.
2. Clear.</t>
  </si>
  <si>
    <t>The popup lists only the values present. Header '▼ filtered (1)'. Escape or a click outside closes it.</t>
  </si>
  <si>
    <t>C-10</t>
  </si>
  <si>
    <t>Assign panel</t>
  </si>
  <si>
    <t>The Broadcasting standard booking.</t>
  </si>
  <si>
    <t>1. Click Assign.</t>
  </si>
  <si>
    <t>- 'Assign FB-00nn': Head Office → Reem Island Office · date time · Patrol.
- Drivers: Queinfotech aabid '· eligible', Queinfotech mahedi '· eligible', each with an Available badge.
- Vehicles: AUH-11223 '· Patrol' with no warning; AUH-01234 '· Cargo Van · different vehicle type'.</t>
  </si>
  <si>
    <t>C-11</t>
  </si>
  <si>
    <t>Assign - in policy</t>
  </si>
  <si>
    <t>Assign panel open; both drivers have the offer card on screen.</t>
  </si>
  <si>
    <t>1. Select Queinfotech mahedi and AUH-11223; click Assign.
2. Check the request, trip, offers, Mahedi, AUH-11223, history.
3. Watch both driver screens for 20 seconds.</t>
  </si>
  <si>
    <t>- No override box. The panel closes and the row leaves Pending requests.
- Request Allocated. Trip TR-00nn: Assigned, AllocationMode Manual, AllocatedBy Aliakbar, IsOverride No.
- Both offers: Withdrawn (not Closed, not Expired).
- Mahedi On Trip; AUH-11223 On Trip. History 'Assigned manually. Ref &lt;id&gt;'.
- Aabid's card disappears. Mahedi's card disappears and the trip appears under My trips today with no Accept step.
- Allocated pairs 1; Available drivers 1; Available vehicles drops by 1.</t>
  </si>
  <si>
    <t>C-12</t>
  </si>
  <si>
    <t>Assigned is not yet ongoing</t>
  </si>
  <si>
    <t>Mahedi's trip is Assigned.</t>
  </si>
  <si>
    <t>1. Look for it in Ongoing trips.</t>
  </si>
  <si>
    <t>Not listed: that grid shows En Route and In Transit only.</t>
  </si>
  <si>
    <t>C-13</t>
  </si>
  <si>
    <t>Ongoing grid</t>
  </si>
  <si>
    <t>Mahedi taps On my way (50000).</t>
  </si>
  <si>
    <t>1. Refresh Dispatch; read Ongoing trips and both Availability tabs.</t>
  </si>
  <si>
    <t>- Row: reference · Head Office · Reem Island Office · Queinfotech mahedi · AUH-11223 · En Route · ETA 'not set'.
- Drivers tab: Mahedi's current task 'Reem Island Office (1 open)'. Vehicles tab: AUH-11223 current task 'Reem Island Office'.</t>
  </si>
  <si>
    <t>Keep the trip En Route.</t>
  </si>
  <si>
    <t>C-14</t>
  </si>
  <si>
    <t>Busy vehicle</t>
  </si>
  <si>
    <t>Mahedi's trip is En Route on AUH-11223. Book the standard booking again (it escalates: no free vehicle).</t>
  </si>
  <si>
    <t>1. Open Assign on the new request; read the amber notice.
2. Select Aabid and AUH-11223.</t>
  </si>
  <si>
    <t>- The request is pinned at the top with an amber edge and 'Awaiting Coordinator'; a notice above the counters says '1 request need allocating'.
- AUH-11223 reads '· on an open trip' and choosing it demands an override reason.
- The amber notice in the panel should explain that no vehicle was free. Record its wording.</t>
  </si>
  <si>
    <t>Close the panel. Keep both.</t>
  </si>
  <si>
    <t>C-15</t>
  </si>
  <si>
    <t>Set ETA</t>
  </si>
  <si>
    <t>Mahedi's trip is in Ongoing trips showing ETA 'not set'.</t>
  </si>
  <si>
    <t>1. Look for a way to set the ETA.</t>
  </si>
  <si>
    <t>The design describes a Set ETA action for the Coordinator. Record whether it exists.</t>
  </si>
  <si>
    <t>C-16</t>
  </si>
  <si>
    <t>Reassign</t>
  </si>
  <si>
    <t>Mahedi's trip is En Route.</t>
  </si>
  <si>
    <t>1. Look for a way to move the trip to Aabid.</t>
  </si>
  <si>
    <t>The design describes Reassign. Record whether it exists.</t>
  </si>
  <si>
    <t>C-17</t>
  </si>
  <si>
    <t>Cancel an allocated request</t>
  </si>
  <si>
    <t>Mahedi's trip is En Route; its request is Allocated.</t>
  </si>
  <si>
    <t>1. Look for any way to cancel the request or the trip from Dispatch.</t>
  </si>
  <si>
    <t>The design says the Coordinator can cancel a request and its trip. Record whether that is possible once a request is Allocated.</t>
  </si>
  <si>
    <t>Mahedi completes the trip. Cancel the escalated request.</t>
  </si>
  <si>
    <t>C-18</t>
  </si>
  <si>
    <t>Override - unqualified driver</t>
  </si>
  <si>
    <t>Aabid: remove Patrol from QualifiedVehicleTypes. Book the standard booking.</t>
  </si>
  <si>
    <t>1. Refresh; click Assign.
2. Select Aabid and AUH-11223; try Assign with no reason.
3. Type a reason; Assign.
4. Check the trip.</t>
  </si>
  <si>
    <t>- Aabid reads '· Not qualified for this vehicle type'.
- Amber 'out-of-policy assignment' notice and a required 'Override reason' box; Assign is disabled until it is filled.
- Trip: IsOverride Yes, OverrideReason = your text.</t>
  </si>
  <si>
    <t>Put Patrol back on Aabid. Aabid completes or cancels the trip.</t>
  </si>
  <si>
    <t>C-19</t>
  </si>
  <si>
    <t>Override - wrong vehicle type</t>
  </si>
  <si>
    <t>A pending standard booking.</t>
  </si>
  <si>
    <t>1. Open Assign; select Mahedi and AUH-01234.</t>
  </si>
  <si>
    <t>'different vehicle type' brings up the required override reason.</t>
  </si>
  <si>
    <t>Close the panel.</t>
  </si>
  <si>
    <t>C-20</t>
  </si>
  <si>
    <t>Verdict - licence</t>
  </si>
  <si>
    <t>Aabid: LicenceExpiry = today's date. A pending Patrol request (it was offered to Mahedi only).</t>
  </si>
  <si>
    <t>1. Refresh; open Assign; read Aabid's line.</t>
  </si>
  <si>
    <t>'Licence expires before the trip ends'. Choosing him needs an override reason.</t>
  </si>
  <si>
    <t>Aabid LicenceExpiry back to 14 Aug 2029.</t>
  </si>
  <si>
    <t>C-21</t>
  </si>
  <si>
    <t>Verdict - on leave</t>
  </si>
  <si>
    <t>- Aabid: Status = On Leave.
- AvailabilityBlocks: add a Leave row for Aabid covering today.</t>
  </si>
  <si>
    <t>1. Book the standard booking (offered to Mahedi only).
2. Refresh; open Assign; read Aabid's line.
3. Select Aabid and AUH-11223.</t>
  </si>
  <si>
    <t>Aabid should carry a verdict that he is on leave, and assigning him should need an override reason. Record his line and whether a reason is demanded.</t>
  </si>
  <si>
    <t>Close the panel. Aabid Status = Available; delete the block. Cancel the request.</t>
  </si>
  <si>
    <t>C-22</t>
  </si>
  <si>
    <t>Verdict - at cap on an Assigned trip</t>
  </si>
  <si>
    <t>Aabid (cap 1) holds a trip that is Assigned, not yet En Route. A second request is pending (set AUH-01234 to Patrol at Al Maryah Tower so it can broadcast).</t>
  </si>
  <si>
    <t>1. Open Assign on the second request; read Aabid's line.</t>
  </si>
  <si>
    <t>He should read 'Already at the concurrent-trip cap'. Record what is shown.</t>
  </si>
  <si>
    <t>Close the panel. Aabid completes or cancels. AUH-01234 back to Cargo Van at Khalifa Industrial Park. Cancel the request.</t>
  </si>
  <si>
    <t>C-23</t>
  </si>
  <si>
    <t>Declined list</t>
  </si>
  <si>
    <t>The request both drivers rejected (D-23). Set its ReqStatus to Awaiting Coordinator by hand (this is what Flow 2 would do).</t>
  </si>
  <si>
    <t>1. Refresh; open Assign on it.</t>
  </si>
  <si>
    <t>Amber notice listing both: 'Queinfotech mahedi declined: Other — Vehicle has a flat tyre' and 'Queinfotech aabid declined: Other — &lt;note&gt;'.</t>
  </si>
  <si>
    <t>C-24</t>
  </si>
  <si>
    <t>After a driver cancels</t>
  </si>
  <si>
    <t>The request Mahedi cancelled (D-26) is Awaiting Coordinator.</t>
  </si>
  <si>
    <t>1. Open Assign on it.
2. Assign Queinfotech aabid with AUH-11223.
3. Aabid runs it through On my way, Picked up, Complete.
4. Check TripAssignments for the request.</t>
  </si>
  <si>
    <t>It can be given to the other driver. Two trip rows now exist for the request: Mahedi's Cancelled and Aabid's Completed. Aliakbar's My Bookings shows Aabid as the driver.</t>
  </si>
  <si>
    <t>C-25</t>
  </si>
  <si>
    <t>Assign on a stale row</t>
  </si>
  <si>
    <t>A pending standard booking on Dispatch; do not refresh.</t>
  </si>
  <si>
    <t>1. Aabid accepts it.
2. Aliakbar clicks Assign on the stale row, selects Mahedi and AUH-11223, clicks Assign.</t>
  </si>
  <si>
    <t>Error 'This request has already been allocated.' No second trip.</t>
  </si>
  <si>
    <t>Keep Aabid's trip for the next step.</t>
  </si>
  <si>
    <t>C-26</t>
  </si>
  <si>
    <t>Reject on a stale row</t>
  </si>
  <si>
    <t>Same stale row (refresh not yet clicked), or repeat the set-up.</t>
  </si>
  <si>
    <t>1. Click Reject; give a reason; confirm.</t>
  </si>
  <si>
    <t>Error 'An allocated request cannot be rejected - cancel it instead.'</t>
  </si>
  <si>
    <t>Aabid completes or cancels.</t>
  </si>
  <si>
    <t>C-27</t>
  </si>
  <si>
    <t>Reject request</t>
  </si>
  <si>
    <t>A pending standard booking; both drivers have the card.</t>
  </si>
  <si>
    <t>1. Click Reject; read the dialog.
2. Type a reason; confirm.
3. Check the row, its offers and the driver screens.
4. Open it in My Bookings.</t>
  </si>
  <si>
    <t>- 'Reject this request?' names the reference and lists three consequences; reason required.
- Request Rejected, RejectionReason = your text. Both offers Withdrawn; both cards disappear.
- My Bookings: 'This request was declined: &lt;reason&gt;'.</t>
  </si>
  <si>
    <t>C-28</t>
  </si>
  <si>
    <t>Cancel request</t>
  </si>
  <si>
    <t>1. Click Cancel; read the dialog.
2. Type a reason; confirm.
3. Check the row and its offers.</t>
  </si>
  <si>
    <t>'Cancel this request?' with four consequences; reason required. Request Cancelled with the reason; offers Withdrawn.</t>
  </si>
  <si>
    <t>C-29</t>
  </si>
  <si>
    <t>Assign panel - close</t>
  </si>
  <si>
    <t>Panel open.</t>
  </si>
  <si>
    <t>1. Click Close or Cancel.</t>
  </si>
  <si>
    <t>Closes with nothing written.</t>
  </si>
  <si>
    <t>C-30</t>
  </si>
  <si>
    <t>Held requests</t>
  </si>
  <si>
    <t>A Held advance booking exists.</t>
  </si>
  <si>
    <t>1. Look for it anywhere on Dispatch.</t>
  </si>
  <si>
    <t>Record whether the Coordinator can see Held requests.</t>
  </si>
  <si>
    <t>Cancel it from My Bookings.</t>
  </si>
  <si>
    <t>C-31</t>
  </si>
  <si>
    <t>Expired broadcast</t>
  </si>
  <si>
    <t>A request whose offer window has closed with nobody accepting (D-25).</t>
  </si>
  <si>
    <t>1. Look at its row on Dispatch.</t>
  </si>
  <si>
    <t>The Coordinator should be told that nobody took it. Record whether anything distinguishes it from a live broadcast.</t>
  </si>
  <si>
    <t>Cancel it.</t>
  </si>
  <si>
    <t>C-32</t>
  </si>
  <si>
    <t>A driver has just completed a trip. Flow 3 is not running.</t>
  </si>
  <si>
    <t>1. Refresh; read the counters and Availability tabs.</t>
  </si>
  <si>
    <t>The trip leaves Ongoing trips; Completed trips rises; the Available counters recover. The Status badges in the Availability tabs still read On Trip for that driver and vehicle.</t>
  </si>
  <si>
    <t>Set the driver's Status and the vehicle's VehStatus back to Available by hand.</t>
  </si>
  <si>
    <t>C-33</t>
  </si>
  <si>
    <t>Auto refresh</t>
  </si>
  <si>
    <t>Dispatch open and untouched.</t>
  </si>
  <si>
    <t>1. Aabid books a ride from his own session; wait up to 60 seconds.</t>
  </si>
  <si>
    <t>The request appears and 'Last refreshed' moves on.</t>
  </si>
  <si>
    <t>C-34</t>
  </si>
  <si>
    <t>Opened by a driver</t>
  </si>
  <si>
    <t>Aabid opens the Dispatch page.</t>
  </si>
  <si>
    <t>1. Read the Availability tabs and the action buttons.</t>
  </si>
  <si>
    <t>- The page loads for him and shows Assign, Reject and Cancel. The web part does not check the role; page permissions must keep drivers out.
- He sees only his own properties, Yas Island Resort and Al Maryah Tower: both drivers and AUH-11223 are listed, but AUH-01234 (Khalifa Industrial Park) is missing from the Vehicles tab.</t>
  </si>
  <si>
    <t>C-35</t>
  </si>
  <si>
    <t>1. Go Offline; Refresh; go online; Refresh.</t>
  </si>
  <si>
    <t>Red banner that the dashboard could not be loaded, warning not to allocate from stale data, with a Reference id. Recovers.</t>
  </si>
  <si>
    <t>Fleet Reports</t>
  </si>
  <si>
    <t>Run after the other sheets so there is data. Sign in as Aliakbar. Use From 01 Oct 2026, To 31 Oct 2026.</t>
  </si>
  <si>
    <t>R-01</t>
  </si>
  <si>
    <t>1. Open Fleet Reports.</t>
  </si>
  <si>
    <t>Filter bar From, To, Property, Request type, Vehicle type, Run report. Eight report buttons, one marked 'Restricted · shows individual acceptance rates'.</t>
  </si>
  <si>
    <t>R-02</t>
  </si>
  <si>
    <t>Default range</t>
  </si>
  <si>
    <t>1. Read the default From and To.</t>
  </si>
  <si>
    <t>Should be the 1st and last day of this month. Record the dates shown.</t>
  </si>
  <si>
    <t>R-03</t>
  </si>
  <si>
    <t>Dropdowns</t>
  </si>
  <si>
    <t>1. Open the three dropdowns.</t>
  </si>
  <si>
    <t>Property: All properties, Al Maryah Tower, Yas Island Resort, Khalifa Industrial Park. Request type: three. Vehicle type: eight.</t>
  </si>
  <si>
    <t>R-04</t>
  </si>
  <si>
    <t>Request fulfilment</t>
  </si>
  <si>
    <t>1. Click 'Request fulfilment'.
2. Group TransportRequests by ReqStatus for October and compare.</t>
  </si>
  <si>
    <t>Raised = all requests created in the range. Allocated = Allocated + Completed. Escalated = Awaiting Coordinator. Rejected and Cancelled match the list.</t>
  </si>
  <si>
    <t>R-05</t>
  </si>
  <si>
    <t>Trip summary</t>
  </si>
  <si>
    <t>1. Click 'Trip summary'.
2. Compare with TripAssignments.</t>
  </si>
  <si>
    <t>One row per trip: Trip, Request, Required, Driver (Queinfotech aabid or mahedi), Vehicle, Status, Distance. The 50000 to 50042 trips show 42. Header 'N rows · generated &lt;time&gt; · live data'.</t>
  </si>
  <si>
    <t>R-06</t>
  </si>
  <si>
    <t>Vehicle utilisation</t>
  </si>
  <si>
    <t>1. Click 'Vehicle utilisation'.</t>
  </si>
  <si>
    <t>A row per vehicle used (AUH-11223, and AUH-01234 if you used it) with trips, hours and distance.</t>
  </si>
  <si>
    <t>R-07</t>
  </si>
  <si>
    <t>Driver utilisation</t>
  </si>
  <si>
    <t>1. Click 'Driver utilisation'.</t>
  </si>
  <si>
    <t>A row per driver with trips, hours and trips per day (trips divided by 31).</t>
  </si>
  <si>
    <t>R-08</t>
  </si>
  <si>
    <t>Broadcast effectiveness</t>
  </si>
  <si>
    <t>1. Click 'Broadcast effectiveness'.
2. Count trips by AllocationMode.</t>
  </si>
  <si>
    <t>Auto-allocated = Automatic trips; Manually assigned = Manual trips; Escalated = requests now Awaiting Coordinator; Escalation rate; Median seconds to first accept.</t>
  </si>
  <si>
    <t>R-09</t>
  </si>
  <si>
    <t>Driver response behaviour</t>
  </si>
  <si>
    <t>1. Click 'Driver response behaviour'.
2. Group RideOffers by Driver and ResponseStatus.</t>
  </si>
  <si>
    <t>A row for each of the two drivers: Offers received, Accepted, Rejected, Expired, most common reason. Accepted and Rejected match the list. Closed and Withdrawn offers count only towards Offers received.</t>
  </si>
  <si>
    <t>R-10</t>
  </si>
  <si>
    <t>Rejection and cancellation</t>
  </si>
  <si>
    <t>1. Click 'Rejection and cancellation analysis'.</t>
  </si>
  <si>
    <t>A row per rejection reason the drivers used, and 'Cancelled by requester or Coordinator' = number of Cancelled requests; largest first.</t>
  </si>
  <si>
    <t>R-11</t>
  </si>
  <si>
    <t>Demand by time and route</t>
  </si>
  <si>
    <t>1. Click 'Demand by time and route'.</t>
  </si>
  <si>
    <t>A row per hour of day with requests and the most common route (mostly 'Head Office to Reem Island Office').</t>
  </si>
  <si>
    <t>R-12</t>
  </si>
  <si>
    <t>Filters</t>
  </si>
  <si>
    <t>1. Property = Yas Island Resort; run 'Request fulfilment'.
2. Request type = Items or Documents; run it.
3. Vehicle type = Patrol; run 'Trip summary'.</t>
  </si>
  <si>
    <t>Each narrows the figures to matching requests only.</t>
  </si>
  <si>
    <t>R-13</t>
  </si>
  <si>
    <t>Range - too long</t>
  </si>
  <si>
    <t>1. Set From 13 months before To.</t>
  </si>
  <si>
    <t>'The range cannot be longer than 12 months.' and Run report is disabled.</t>
  </si>
  <si>
    <t>R-14</t>
  </si>
  <si>
    <t>Range - end before start</t>
  </si>
  <si>
    <t>1. Set To before From; Run report.</t>
  </si>
  <si>
    <t>Red banner 'The end date is not after the start date. Pick an end date later than the start date.'</t>
  </si>
  <si>
    <t>R-15</t>
  </si>
  <si>
    <t>Range - no data</t>
  </si>
  <si>
    <t>1. Set September 2024; run 'Trip summary'.</t>
  </si>
  <si>
    <t>'0 rows' and 'No data for that period and those filters.'</t>
  </si>
  <si>
    <t>R-16</t>
  </si>
  <si>
    <t>Export - Excel</t>
  </si>
  <si>
    <t>A report with rows on screen.</t>
  </si>
  <si>
    <t>1. Click 'Export to Excel'; open the file.</t>
  </si>
  <si>
    <t>&lt;ReportKey&gt;-&lt;yyyymmdd&gt;-&lt;hhmm&gt;.xls opens (Excel may warn about the format). Bold header, sheet named after the report, numbers as numbers.</t>
  </si>
  <si>
    <t>R-17</t>
  </si>
  <si>
    <t>Export - CSV</t>
  </si>
  <si>
    <t>1. Click 'Export to CSV'; open in Excel and Notepad.</t>
  </si>
  <si>
    <t>Same columns and rows as the screen.</t>
  </si>
  <si>
    <t>R-18</t>
  </si>
  <si>
    <t>Restricted report hidden</t>
  </si>
  <si>
    <t>Aabid is in FM Drivers only.</t>
  </si>
  <si>
    <t>1. Aabid opens Fleet Reports; counts the buttons.</t>
  </si>
  <si>
    <t>7 reports; 'Driver response behaviour' is missing. Record also that the page itself opens for a driver.</t>
  </si>
  <si>
    <t>Full journeys</t>
  </si>
  <si>
    <t>Whole stories across the web parts with all three people, then permissions and look and feel.</t>
  </si>
  <si>
    <t>X-01</t>
  </si>
  <si>
    <t>Automatic, start to finish</t>
  </si>
  <si>
    <t>All three</t>
  </si>
  <si>
    <t>1. Aliakbar books the standard booking and stays on the received screen.
2. Both drivers see the card. Aabid accepts.
3. Aliakbar's screen moves to Booking confirmed; he opens Track my ride.
4. Aabid: On my way (50000), Picked up, Complete (50042).
5. Aliakbar checks Dispatch and the Trip summary report.</t>
  </si>
  <si>
    <t>- Mahedi's card disappears when Aabid accepts. Offers: Aabid Accepted, Mahedi Closed.
- Aliakbar sees the driver and car, then each stage as it happens.
- Trip Completed, 42 km, four TripStatusHistory rows. Dispatch: it passes through Ongoing trips and ends in Completed trips.
- With no flows: the request stays Allocated, Aabid and AUH-11223 stay On Trip, and no emails are sent.</t>
  </si>
  <si>
    <t>Aabid and AUH-11223 back to Available.</t>
  </si>
  <si>
    <t>X-02</t>
  </si>
  <si>
    <t>One declines, the other drives</t>
  </si>
  <si>
    <t>1. Aliakbar books.
2. Aabid rejects with 'Already on a trip'.
3. Mahedi accepts and completes.</t>
  </si>
  <si>
    <t>Aabid's offer Rejected with the reason; Mahedi's Accepted. The trip runs normally. 'Driver response behaviour' later shows one rejection for Aabid.</t>
  </si>
  <si>
    <t>Mahedi and AUH-11223 back to Available.</t>
  </si>
  <si>
    <t>X-03</t>
  </si>
  <si>
    <t>Driver pulls out, Coordinator re-plans</t>
  </si>
  <si>
    <t>1. Aliakbar books; Mahedi accepts.
2. Mahedi cancels the trip with a reason.
3. Aliakbar looks at My Bookings and at Dispatch.
4. Aliakbar assigns Aabid with AUH-11223.
5. Aabid completes.</t>
  </si>
  <si>
    <t>After the cancel: request Awaiting Coordinator, pinned on Dispatch; My Bookings says the Coordinator is assigning someone (not 'Cancelled'). After the reassignment Aabid sees it with no Accept step and the requester sees Aabid's details.</t>
  </si>
  <si>
    <t>X-04</t>
  </si>
  <si>
    <t>Escalation, then manual</t>
  </si>
  <si>
    <t>AUH-11223 Under Maintenance.</t>
  </si>
  <si>
    <t>1. Aliakbar books the standard booking (it escalates).
2. Set AUH-11223 back to Available.
3. Aliakbar refreshes Dispatch, opens Assign, picks Aabid and AUH-11223.
4. Aabid completes.</t>
  </si>
  <si>
    <t>Path: Awaiting Coordinator → Allocated. Trip AllocationMode Manual. 'Broadcast effectiveness' counts it under Manually assigned.</t>
  </si>
  <si>
    <t>X-05</t>
  </si>
  <si>
    <t>1. Aliakbar books for tomorrow (Held).
2. Set ReqStatus = Submitted by hand.
3. Aliakbar opens Dispatch.
4. A driver accepts and completes.</t>
  </si>
  <si>
    <t>Held → Submitted → Broadcasting (picked up by Dispatch) → Allocated. Neither driver sees it while it is Held.</t>
  </si>
  <si>
    <t>X-06</t>
  </si>
  <si>
    <t>Requester changes their mind early</t>
  </si>
  <si>
    <t>1. Book for tomorrow.
2. Cancel it in My Bookings.</t>
  </si>
  <si>
    <t>Cancelled with the reason; never offered to anyone.</t>
  </si>
  <si>
    <t>X-07</t>
  </si>
  <si>
    <t>Requester changes their mind late</t>
  </si>
  <si>
    <t>1. Aliakbar books; Aabid accepts.
2. Aliakbar uses 'Ask to cancel' in My Bookings.
3. Aliakbar, as Coordinator, tries to act on it from Dispatch.
4. Aabid looks at his Driver Dashboard.</t>
  </si>
  <si>
    <t>Record how the Coordinator and the driver learn about the request to cancel, and whether the Coordinator can complete the cancellation (C-17).</t>
  </si>
  <si>
    <t>Aabid cancels the trip; cancel the request from Dispatch.</t>
  </si>
  <si>
    <t>X-08</t>
  </si>
  <si>
    <t>Coordinator rejects</t>
  </si>
  <si>
    <t>1. Book; reject it from Dispatch with a reason; open My Bookings.</t>
  </si>
  <si>
    <t>Rejected; both offers Withdrawn; the reason is shown to the requester.</t>
  </si>
  <si>
    <t>X-09</t>
  </si>
  <si>
    <t>Mahedi carries two trips</t>
  </si>
  <si>
    <t>AUH-01234: VehicleType = Patrol, PropertyRef = Al Maryah Tower.</t>
  </si>
  <si>
    <t>1. Aliakbar books; Mahedi accepts.
2. Aliakbar books again; read RideOffers; Mahedi accepts.
3. Aliakbar books a third time.</t>
  </si>
  <si>
    <t>Second booking: offers for Aabid and Mahedi (Mahedi holds 1 of 2). After Mahedi accepts both, the third booking escalates: both Patrols are busy. Dispatch shows Allocated pairs 2.</t>
  </si>
  <si>
    <t>Mahedi completes both. AUH-01234 back to Cargo Van at Khalifa Industrial Park. Cancel the third request.</t>
  </si>
  <si>
    <t>X-10</t>
  </si>
  <si>
    <t>Three bookings in a minute</t>
  </si>
  <si>
    <t>1. Submit three standard bookings within one minute from two sessions.
2. Check the rows and offers.</t>
  </si>
  <si>
    <t>Three different references, each matching its item ID, each with its own two offers.</t>
  </si>
  <si>
    <t>Cancel them.</t>
  </si>
  <si>
    <t>X-11</t>
  </si>
  <si>
    <t>Driver cannot write - master lists</t>
  </si>
  <si>
    <t>Give FM Drivers Read only on DriversMaster and VehicleMaster.</t>
  </si>
  <si>
    <t>1. Aliakbar books; Aabid accepts.
2. Check the trip, Aabid's Status and AUH-11223.</t>
  </si>
  <si>
    <t>Record the message Aabid sees and the state left behind: is there a trip, and do the driver and vehicle read On Trip?</t>
  </si>
  <si>
    <t>Restore Contribute. Tidy the trip.</t>
  </si>
  <si>
    <t>X-12</t>
  </si>
  <si>
    <t>Driver cannot write - offers</t>
  </si>
  <si>
    <t>Give FM Drivers Read only on RideOffers.</t>
  </si>
  <si>
    <t>1. Mahedi rejects an offer.</t>
  </si>
  <si>
    <t>'You do not have permission to write to the RideOffers list. Ask a Fleet Admin to grant your group Contribute on RideOffers. Nothing was saved.'</t>
  </si>
  <si>
    <t>Restore Contribute.</t>
  </si>
  <si>
    <t>X-13</t>
  </si>
  <si>
    <t>Requester privacy</t>
  </si>
  <si>
    <t>Network tab recording.</t>
  </si>
  <si>
    <t>1. Go through the wizard up to, not including, Submit; list the lists requested.</t>
  </si>
  <si>
    <t>Only Locations, VehicleTypes and user or group calls. Nothing about drivers, vehicles or availability.</t>
  </si>
  <si>
    <t>X-14</t>
  </si>
  <si>
    <t>Other people's requests</t>
  </si>
  <si>
    <t>1. Aabid opens the TransportRequests list directly in the browser.</t>
  </si>
  <si>
    <t>Record whether he can see Aliakbar's and Noreply Myhub's requests there. Item-level permissions are what would prevent it.</t>
  </si>
  <si>
    <t>X-15</t>
  </si>
  <si>
    <t>Script injection</t>
  </si>
  <si>
    <t>1. Book with Remarks &lt;script&gt;alert(1)&lt;/script&gt; and Others text &lt;img src=x onerror=alert(1)&gt;.
2. Open it in My Bookings and the Assign panel.</t>
  </si>
  <si>
    <t>Shown as plain text. No alert box.</t>
  </si>
  <si>
    <t>X-16</t>
  </si>
  <si>
    <t>Keyboard only</t>
  </si>
  <si>
    <t>No mouse.</t>
  </si>
  <si>
    <t>1. Complete a booking.
2. On Dispatch: tab through, open a filter with Enter, close with Escape, assign a request.</t>
  </si>
  <si>
    <t>Everything can be reached and used, with a visible focus ring.</t>
  </si>
  <si>
    <t>X-17</t>
  </si>
  <si>
    <t>Colour is not the only signal</t>
  </si>
  <si>
    <t>Greyscale screenshots.</t>
  </si>
  <si>
    <t>1. Check each page.</t>
  </si>
  <si>
    <t>Badges carry their word; a pinned row says 'Awaiting Coordinator'; a filtered column says 'filtered (n)'.</t>
  </si>
  <si>
    <t>X-18</t>
  </si>
  <si>
    <t>Time zone</t>
  </si>
  <si>
    <t>PC time zone not UTC+4.</t>
  </si>
  <si>
    <t>1. Compare a request's Required time on My Bookings, the Driver page, Dispatch and in the list.</t>
  </si>
  <si>
    <t>All three pages show the same Gulf time, 4 hours ahead of the UTC value in the list.</t>
  </si>
  <si>
    <t>X-19</t>
  </si>
  <si>
    <t>Confirm dialogs</t>
  </si>
  <si>
    <t>1. Open each: requester cancel, driver reject, driver cancel trip, Coordinator reject, Coordinator cancel.</t>
  </si>
  <si>
    <t>Each is an in-page dialog listing its consequences, with a required reason and a Cancel button.</t>
  </si>
  <si>
    <t>X-20</t>
  </si>
  <si>
    <t>Console</t>
  </si>
  <si>
    <t>Console open in each session.</t>
  </si>
  <si>
    <t>1. Use each page for a few minutes.</t>
  </si>
  <si>
    <t>No uncaught errors. Record any '[FleetPortal]' warnings.</t>
  </si>
  <si>
    <t>X-21</t>
  </si>
  <si>
    <t>Browsers</t>
  </si>
  <si>
    <t>Edge and Chrome.</t>
  </si>
  <si>
    <t>1. Open the Driver Dashboard in each.</t>
  </si>
  <si>
    <t>Works in both, including the chime and tab title.</t>
  </si>
  <si>
    <t>#</t>
  </si>
  <si>
    <t>Point</t>
  </si>
  <si>
    <t>Why it matters</t>
  </si>
  <si>
    <t>Suggested action</t>
  </si>
  <si>
    <t>See step</t>
  </si>
  <si>
    <t>Confirmed? (Yes / No)</t>
  </si>
  <si>
    <t>Notes</t>
  </si>
  <si>
    <t>N-01</t>
  </si>
  <si>
    <t>Other driver rows may still be active</t>
  </si>
  <si>
    <t>Your earlier list had six drivers. If the four you did not mention are still active and linked to properties, they receive offers nobody can answer, and if Aliakbar's login is still on one of them, Aliakbar is treated as a driver.</t>
  </si>
  <si>
    <t>Set IsActive = No and clear UserAccount on them.</t>
  </si>
  <si>
    <t>N-02</t>
  </si>
  <si>
    <t>Not supplied</t>
  </si>
  <si>
    <t>This list decides who can be offered a trip. The pack assumes three rows: Aabid to Yas Island Resort and to Al Maryah Tower, Mahedi to Al Maryah Tower. HomeProperty on DriversMaster does not decide who is offered a trip.</t>
  </si>
  <si>
    <t>Confirm in the setup step.</t>
  </si>
  <si>
    <t>N-03</t>
  </si>
  <si>
    <t>Aabid's home property is now Yas Island Resort</t>
  </si>
  <si>
    <t>HomeProperty affects three things only: the default pickup when Aabid books a ride himself, the property a no-property pickup is filed under for him, and which properties he sees if he opens Dispatch. It does not affect which trips he is offered.</t>
  </si>
  <si>
    <t>Keep his Al Maryah Tower link in DLClientMaster so both drivers still share offers.</t>
  </si>
  <si>
    <t>N-04</t>
  </si>
  <si>
    <t>One Patrol for two drivers</t>
  </si>
  <si>
    <t>The only vehicle either driver can drive is AUH-11223 at Al Maryah Tower, and nothing drivable is based at Aabid's home property, Yas Island Resort. One open trip therefore sends the next request to the Coordinator. Several steps borrow AUH-01234 as a second Patrol.</t>
  </si>
  <si>
    <t>Expected with this test fleet.</t>
  </si>
  <si>
    <t>N-05</t>
  </si>
  <si>
    <t>AUH-01234 cannot be allocated automatically</t>
  </si>
  <si>
    <t>It is a Cargo Van at Khalifa Industrial Park with Aabid as default driver, but neither driver is qualified for Cargo Van or linked to that property.</t>
  </si>
  <si>
    <t>Fine for testing; a real fleet needs a qualified, linked driver.</t>
  </si>
  <si>
    <t>N-06</t>
  </si>
  <si>
    <t>Four locations have no Property</t>
  </si>
  <si>
    <t>Both airports, Cleveland Clinic Abu Dhabi and Downtown Abu Dhabi. A normal requester cannot book a pickup from them.</t>
  </si>
  <si>
    <t>Give them a Property, or accept that they are destinations only.</t>
  </si>
  <si>
    <t>N-07</t>
  </si>
  <si>
    <t>FB-0020 and FB-0021 are stuck in Broadcasting</t>
  </si>
  <si>
    <t>Their offer windows closed on 8 and 7 Oct. They are cleared in the setup sheet.</t>
  </si>
  <si>
    <t>Cancel them from Dispatch.</t>
  </si>
  <si>
    <t>N-08</t>
  </si>
  <si>
    <t>Flows</t>
  </si>
  <si>
    <t>No flow is assumed to be running</t>
  </si>
  <si>
    <t>So requests never move from Broadcasting to Awaiting Coordinator by themselves, a completed trip leaves its request on Allocated and its driver and vehicle on On Trip, and no emails are sent. Steps say where to fix this by hand.</t>
  </si>
  <si>
    <t>Build the flows, then use module 09 of the live-data workbook.</t>
  </si>
  <si>
    <t>Note</t>
  </si>
  <si>
    <t>Source: the DriversMaster and VehicleMaster rows you pasted on 9 Oct 2026, plus the Locations, VehicleTypes, AllocationRules and TransportRequests data from earlier the same day.</t>
  </si>
  <si>
    <t>Area</t>
  </si>
  <si>
    <t>What I expect to go wrong</t>
  </si>
  <si>
    <t>Why (from reading the code)</t>
  </si>
  <si>
    <t>Where in the code</t>
  </si>
  <si>
    <t>Confirm with step</t>
  </si>
  <si>
    <t>CR-01</t>
  </si>
  <si>
    <t>Cancelling while Broadcasting does nothing but says a driver accepted</t>
  </si>
  <si>
    <t>The screen offers 'Ask to cancel' for Broadcasting. The service only cancels Submitted, Held and Awaiting Coordinator; otherwise it returns the 'driver has already accepted' message. With no trip there is nothing to write.</t>
  </si>
  <si>
    <t>src/common/rules/statusTransitions.ts (cancellationNeedsCoordinator); src/common/services/DispatchService.ts (cancel)</t>
  </si>
  <si>
    <t>CR-02</t>
  </si>
  <si>
    <t>Dispatch</t>
  </si>
  <si>
    <t>No way to cancel an Allocated request</t>
  </si>
  <si>
    <t>Cancel exists only on Pending rows; the Ongoing grid has no actions.</t>
  </si>
  <si>
    <t>src/webparts/dispatchDashboard/components/DispatchDashboard.tsx</t>
  </si>
  <si>
    <t>CR-03</t>
  </si>
  <si>
    <t>Reassign is not reachable</t>
  </si>
  <si>
    <t>DispatchService.reassign has no caller.</t>
  </si>
  <si>
    <t>src/common/services/DispatchService.ts (reassign)</t>
  </si>
  <si>
    <t>CR-04</t>
  </si>
  <si>
    <t>Set ETA is not reachable</t>
  </si>
  <si>
    <t>DispatchService.setEta has no caller, so ETA always reads 'not set'.</t>
  </si>
  <si>
    <t>src/common/services/DispatchService.ts (setEta)</t>
  </si>
  <si>
    <t>CR-05</t>
  </si>
  <si>
    <t>An expired broadcast looks like a live one</t>
  </si>
  <si>
    <t>Nothing on the page compares OfferClosesAt with the current time, so without Flow 2 the Coordinator is never told.</t>
  </si>
  <si>
    <t>CR-06</t>
  </si>
  <si>
    <t>Assign panel never shows the on-leave verdict</t>
  </si>
  <si>
    <t>It passes an empty list of availability blocks to the eligibility check and does not look at Status, so a driver on leave can be assigned with no override reason.</t>
  </si>
  <si>
    <t>DispatchDashboard.tsx (AssignmentPanel, blocks: [])</t>
  </si>
  <si>
    <t>CR-07</t>
  </si>
  <si>
    <t>Assign panel ignores trips that are only Assigned</t>
  </si>
  <si>
    <t>Its open-trip list is the Ongoing grid (En Route, In Transit), so a driver or vehicle on an Assigned trip is not flagged.</t>
  </si>
  <si>
    <t>DispatchDashboard.tsx (openTrips from snapshot.ongoingTrips)</t>
  </si>
  <si>
    <t>CR-08</t>
  </si>
  <si>
    <t>Assign panel gives the wrong reason for an immediate escalation</t>
  </si>
  <si>
    <t>For any Awaiting Coordinator request the notice starts 'The offer window closed with nobody accepting', even when no offer was made.</t>
  </si>
  <si>
    <t>DispatchDashboard.tsx (AssignmentPanel notice)</t>
  </si>
  <si>
    <t>CR-09</t>
  </si>
  <si>
    <t>Held requests are invisible</t>
  </si>
  <si>
    <t>The snapshot does not read Held.</t>
  </si>
  <si>
    <t>src/common/services/DispatchService.ts (getSnapshot)</t>
  </si>
  <si>
    <t>CR-10</t>
  </si>
  <si>
    <t>Two counters do not filter</t>
  </si>
  <si>
    <t>Completed trips and Allocated pairs only highlight.</t>
  </si>
  <si>
    <t>DispatchDashboard.tsx (visibleTrips, visibleRequests)</t>
  </si>
  <si>
    <t>CR-11</t>
  </si>
  <si>
    <t>Completed period dropdown always reads 'This month'</t>
  </si>
  <si>
    <t>Its value is bound to the period start, which is also the first option's value.</t>
  </si>
  <si>
    <t>DispatchDashboard.tsx (period Select)</t>
  </si>
  <si>
    <t>CR-12</t>
  </si>
  <si>
    <t>A Coordinator who is also a driver sees only that driver's properties</t>
  </si>
  <si>
    <t>Property scope is taken from the driver record whenever one exists.</t>
  </si>
  <si>
    <t>src/common/services/UserService.ts (propertyIds)</t>
  </si>
  <si>
    <t>CR-13</t>
  </si>
  <si>
    <t>'No vehicle' is shown with the 'another driver accepted' wording</t>
  </si>
  <si>
    <t>Every non-success result is shown in one box that always adds 'Another driver accepted that trip first.'</t>
  </si>
  <si>
    <t>src/webparts/driverDashboard/components/DriverDashboard.tsx (takenNotice)</t>
  </si>
  <si>
    <t>CR-14</t>
  </si>
  <si>
    <t>Reject note is cut at the first colon</t>
  </si>
  <si>
    <t>The dashboard splits 'Other: &lt;note&gt;' on ':' and keeps only the second piece.</t>
  </si>
  <si>
    <t>DriverDashboard.tsx (reject)</t>
  </si>
  <si>
    <t>CR-15</t>
  </si>
  <si>
    <t>Closing odometer below opening is accepted</t>
  </si>
  <si>
    <t>Only 'is it a number' is checked.</t>
  </si>
  <si>
    <t>DispatchService.ts (updateTripStatus)</t>
  </si>
  <si>
    <t>CR-16</t>
  </si>
  <si>
    <t>Allocation</t>
  </si>
  <si>
    <t>A driver whose Status is On Leave is still eligible</t>
  </si>
  <si>
    <t>The broadcast filters on IsActive and Status not Inactive, then on AvailabilityBlocks. Status On Leave is not read.</t>
  </si>
  <si>
    <t>DispatchService.ts (broadcast); src/common/rules/dispatchRules.ts</t>
  </si>
  <si>
    <t>CR-17</t>
  </si>
  <si>
    <t>Default pickup is the first location alphabetically</t>
  </si>
  <si>
    <t>For Yas Island Resort that is 'Yas Mall'.</t>
  </si>
  <si>
    <t>BookARide.tsx; MasterDataService.ts (orderBy Title)</t>
  </si>
  <si>
    <t>CR-18</t>
  </si>
  <si>
    <t>Passenger count is not checked against capacity</t>
  </si>
  <si>
    <t>Validation only requires 1 or more.</t>
  </si>
  <si>
    <t>BookARide.tsx (validate)</t>
  </si>
  <si>
    <t>CR-19</t>
  </si>
  <si>
    <t>Reports</t>
  </si>
  <si>
    <t>Default From date is one day early</t>
  </si>
  <si>
    <t>The Gulf month start is converted to a UTC date, likely showing 30 Sep.</t>
  </si>
  <si>
    <t>src/webparts/reports/components/Reports.tsx (toDateInput)</t>
  </si>
  <si>
    <t>CR-20</t>
  </si>
  <si>
    <t>Roles</t>
  </si>
  <si>
    <t>Dispatch and Reports do not check the visitor's role</t>
  </si>
  <si>
    <t>Only the restricted report is gated.</t>
  </si>
  <si>
    <t>DispatchDashboard.tsx; Reports.tsx</t>
  </si>
  <si>
    <t>CR-21</t>
  </si>
  <si>
    <t>Permissions</t>
  </si>
  <si>
    <t>The broadcast runs as the requester</t>
  </si>
  <si>
    <t>Requesters need read access to driver, vehicle and availability lists and add access to RideOffers. A failure is swallowed and the request waits on Submitted for a Dispatch sweep.</t>
  </si>
  <si>
    <t>DispatchService.ts (createRequest calls broadcast)</t>
  </si>
  <si>
    <t>CR-22</t>
  </si>
  <si>
    <t>Claim can half-complete without Contribute on master lists</t>
  </si>
  <si>
    <t>Driver and vehicle status are written after the trip is created.</t>
  </si>
  <si>
    <t>DispatchService.ts (completeClaim); Build Guide v4 section 2.4</t>
  </si>
  <si>
    <t>CR-23</t>
  </si>
  <si>
    <t>A request everyone has rejected stays Broadcasting</t>
  </si>
  <si>
    <t>Rejecting never changes the request, even when no Pending offer is left. Only Flow 2 moves it on, after the window closes.</t>
  </si>
  <si>
    <t>src/common/services/DispatchService.ts (rejectOffer)</t>
  </si>
  <si>
    <t>These come from reading the source (commit 05e84ee), not from running the app. Nothing is confirmed until the linked step has been run.</t>
  </si>
  <si>
    <t>Bug ID</t>
  </si>
  <si>
    <t>Date found</t>
  </si>
  <si>
    <t>Step ID</t>
  </si>
  <si>
    <t>Web part</t>
  </si>
  <si>
    <t>Summary</t>
  </si>
  <si>
    <t>Steps to reproduce</t>
  </si>
  <si>
    <t>Expected</t>
  </si>
  <si>
    <t>Actual</t>
  </si>
  <si>
    <t>Severity</t>
  </si>
  <si>
    <t>Evidence (screenshot / console)</t>
  </si>
  <si>
    <t>Fixed in / retest date</t>
  </si>
  <si>
    <t>EXAMPLE</t>
  </si>
  <si>
    <t>12-Oct-2026</t>
  </si>
  <si>
    <t>Cannot cancel a Broadcasting request</t>
  </si>
  <si>
    <t>1. Aliakbar books the standard booking.
2. Opens My Bookings, selects it.
3. Clicks the cancel button, gives a reason, confirms.</t>
  </si>
  <si>
    <t>Request is cancelled.</t>
  </si>
  <si>
    <t>Message says a driver already accepted; nothing changed in the list.</t>
  </si>
  <si>
    <t>Open</t>
  </si>
  <si>
    <t>Screenshot m-05.png</t>
  </si>
  <si>
    <t>Row 2 is an example showing the expected format. Start your own entries from row 3.</t>
  </si>
  <si>
    <t>Same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</si>
</sst>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1F3864"/>
      <name val="Arial"/>
    </font>
    <font>
      <b/>
      <sz val="10"/>
      <name val="Arial"/>
    </font>
    <font>
      <sz val="10"/>
      <name val="Arial"/>
    </font>
    <font>
      <b/>
      <sz val="12"/>
      <color rgb="FF1F3864"/>
      <name val="Arial"/>
    </font>
    <font>
      <b/>
      <sz val="10"/>
      <color rgb="FFFFFFFF"/>
      <name val="Arial"/>
    </font>
    <font>
      <b/>
      <sz val="14"/>
      <color rgb="FF1F3864"/>
      <name val="Arial"/>
    </font>
    <font>
      <i/>
      <sz val="10"/>
      <color rgb="FF7F7F7F"/>
      <name val="Arial"/>
    </font>
    <font>
      <sz val="10"/>
      <color theme="1"/>
      <name val="Arial"/>
      <family val="2"/>
    </font>
    <font>
      <b/>
      <sz val="10"/>
      <color rgb="FF006100"/>
      <name val="Arial"/>
      <family val="2"/>
    </font>
    <font>
      <sz val="10"/>
      <color rgb="FF000000"/>
      <name val="Arial"/>
      <family val="2"/>
    </font>
    <font>
      <sz val="11"/>
      <color rgb="FF000000"/>
      <name val="Calibri"/>
      <family val="2"/>
      <scheme val="minor"/>
    </font>
  </fonts>
  <fills count="9">
    <fill>
      <patternFill patternType="none"/>
    </fill>
    <fill>
      <patternFill patternType="gray125"/>
    </fill>
    <fill>
      <patternFill patternType="solid">
        <fgColor rgb="FF1F3864"/>
      </patternFill>
    </fill>
    <fill>
      <patternFill patternType="solid">
        <fgColor rgb="FFFFF9DB"/>
      </patternFill>
    </fill>
    <fill>
      <patternFill patternType="solid">
        <fgColor rgb="FFE8F1FB"/>
      </patternFill>
    </fill>
    <fill>
      <patternFill patternType="solid">
        <fgColor rgb="FFFFF9DB"/>
        <bgColor indexed="64"/>
      </patternFill>
    </fill>
    <fill>
      <patternFill patternType="solid">
        <fgColor rgb="FFC6EFCE"/>
        <bgColor indexed="64"/>
      </patternFill>
    </fill>
    <fill>
      <patternFill patternType="solid">
        <fgColor rgb="FFFFF9DB"/>
        <bgColor rgb="FF000000"/>
      </patternFill>
    </fill>
    <fill>
      <patternFill patternType="solid">
        <fgColor rgb="FFC6EFCE"/>
        <bgColor rgb="FF000000"/>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style="medium">
        <color rgb="FFCCCCCC"/>
      </left>
      <right style="medium">
        <color rgb="FFBFBFBF"/>
      </right>
      <top style="medium">
        <color rgb="FFBFBFBF"/>
      </top>
      <bottom style="medium">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6" fillId="0" borderId="0" xfId="0" applyFont="1"/>
    <xf numFmtId="0" fontId="3" fillId="0" borderId="0" xfId="0" applyFont="1"/>
    <xf numFmtId="0" fontId="5" fillId="2" borderId="1" xfId="0" applyFont="1" applyFill="1" applyBorder="1" applyAlignment="1">
      <alignment vertical="center" wrapText="1"/>
    </xf>
    <xf numFmtId="0" fontId="3" fillId="0" borderId="1" xfId="0" applyFont="1" applyBorder="1"/>
    <xf numFmtId="9" fontId="3" fillId="0" borderId="1" xfId="0" applyNumberFormat="1" applyFont="1" applyBorder="1"/>
    <xf numFmtId="0" fontId="2" fillId="0" borderId="1" xfId="0" applyFont="1" applyBorder="1"/>
    <xf numFmtId="9" fontId="2" fillId="0" borderId="1" xfId="0" applyNumberFormat="1" applyFont="1" applyBorder="1"/>
    <xf numFmtId="0" fontId="4" fillId="0" borderId="0" xfId="0" applyFont="1"/>
    <xf numFmtId="0" fontId="5" fillId="2" borderId="1" xfId="0" applyFont="1" applyFill="1" applyBorder="1"/>
    <xf numFmtId="0" fontId="3" fillId="0" borderId="1" xfId="0" applyFont="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2" fillId="0" borderId="0" xfId="0" applyFont="1"/>
    <xf numFmtId="0" fontId="7" fillId="0" borderId="1" xfId="0" applyFont="1" applyBorder="1" applyAlignment="1">
      <alignment vertical="top" wrapText="1"/>
    </xf>
    <xf numFmtId="0" fontId="8" fillId="5" borderId="2" xfId="0" applyFont="1" applyFill="1" applyBorder="1" applyAlignment="1">
      <alignment vertical="top" wrapText="1"/>
    </xf>
    <xf numFmtId="0" fontId="9" fillId="6" borderId="3" xfId="0" applyFont="1" applyFill="1" applyBorder="1" applyAlignment="1">
      <alignment vertical="top" wrapText="1"/>
    </xf>
    <xf numFmtId="0" fontId="0" fillId="5" borderId="3" xfId="0" applyFill="1" applyBorder="1" applyAlignment="1">
      <alignment vertical="top" wrapText="1"/>
    </xf>
    <xf numFmtId="0" fontId="8" fillId="5" borderId="3" xfId="0" applyFont="1" applyFill="1" applyBorder="1" applyAlignment="1">
      <alignment vertical="top" wrapText="1"/>
    </xf>
    <xf numFmtId="14" fontId="8" fillId="5" borderId="3" xfId="0" applyNumberFormat="1" applyFont="1" applyFill="1" applyBorder="1" applyAlignment="1">
      <alignment horizontal="right" vertical="top" wrapText="1"/>
    </xf>
    <xf numFmtId="0" fontId="10" fillId="7" borderId="2" xfId="0" applyFont="1" applyFill="1" applyBorder="1" applyAlignment="1">
      <alignment vertical="top" wrapText="1"/>
    </xf>
    <xf numFmtId="0" fontId="9" fillId="8" borderId="3" xfId="0" applyFont="1" applyFill="1" applyBorder="1" applyAlignment="1">
      <alignment vertical="top" wrapText="1"/>
    </xf>
    <xf numFmtId="0" fontId="11" fillId="7" borderId="3" xfId="0" applyFont="1" applyFill="1" applyBorder="1" applyAlignment="1">
      <alignment vertical="top" wrapText="1"/>
    </xf>
    <xf numFmtId="0" fontId="10" fillId="7" borderId="3" xfId="0" applyFont="1" applyFill="1" applyBorder="1" applyAlignment="1">
      <alignment vertical="top" wrapText="1"/>
    </xf>
    <xf numFmtId="14" fontId="10" fillId="7" borderId="3" xfId="0" applyNumberFormat="1" applyFont="1" applyFill="1" applyBorder="1" applyAlignment="1">
      <alignment horizontal="right" vertical="top" wrapText="1"/>
    </xf>
    <xf numFmtId="0" fontId="3" fillId="0" borderId="0" xfId="0" applyFont="1" applyAlignment="1">
      <alignment vertical="top" wrapText="1"/>
    </xf>
    <xf numFmtId="0" fontId="0" fillId="0" borderId="0" xfId="0"/>
  </cellXfs>
  <cellStyles count="1">
    <cellStyle name="Normal" xfId="0" builtinId="0"/>
  </cellStyles>
  <dxfs count="21">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
      <font>
        <b/>
        <color rgb="FF9C5700"/>
        <name val="Arial"/>
      </font>
      <fill>
        <patternFill patternType="solid">
          <bgColor rgb="FFFFEB9C"/>
        </patternFill>
      </fill>
    </dxf>
    <dxf>
      <font>
        <b/>
        <color rgb="FF9C0006"/>
        <name val="Arial"/>
      </font>
      <fill>
        <patternFill patternType="solid">
          <bgColor rgb="FFFFC7CE"/>
        </patternFill>
      </fill>
    </dxf>
    <dxf>
      <font>
        <b/>
        <color rgb="FF006100"/>
        <name val="Arial"/>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opLeftCell="A5" workbookViewId="0"/>
  </sheetViews>
  <sheetFormatPr defaultRowHeight="14.4" x14ac:dyDescent="0.3"/>
  <cols>
    <col min="1" max="1" width="26" customWidth="1"/>
    <col min="2" max="2" width="112" customWidth="1"/>
  </cols>
  <sheetData>
    <row r="1" spans="1:2" ht="21" x14ac:dyDescent="0.4">
      <c r="A1" s="1" t="s">
        <v>0</v>
      </c>
    </row>
    <row r="3" spans="1:2" ht="39.6" x14ac:dyDescent="0.3">
      <c r="A3" s="2" t="s">
        <v>1</v>
      </c>
      <c r="B3" s="3" t="s">
        <v>2</v>
      </c>
    </row>
    <row r="4" spans="1:2" ht="79.2" x14ac:dyDescent="0.3">
      <c r="A4" s="2" t="s">
        <v>3</v>
      </c>
      <c r="B4" s="3" t="s">
        <v>4</v>
      </c>
    </row>
    <row r="5" spans="1:2" ht="105.6" x14ac:dyDescent="0.3">
      <c r="A5" s="2" t="s">
        <v>5</v>
      </c>
      <c r="B5" s="3" t="s">
        <v>6</v>
      </c>
    </row>
    <row r="6" spans="1:2" ht="52.8" x14ac:dyDescent="0.3">
      <c r="A6" s="2" t="s">
        <v>7</v>
      </c>
      <c r="B6" s="3" t="s">
        <v>8</v>
      </c>
    </row>
    <row r="7" spans="1:2" ht="26.4" x14ac:dyDescent="0.3">
      <c r="A7" s="2" t="s">
        <v>9</v>
      </c>
      <c r="B7" s="3" t="s">
        <v>10</v>
      </c>
    </row>
    <row r="8" spans="1:2" x14ac:dyDescent="0.3">
      <c r="A8" s="2" t="s">
        <v>11</v>
      </c>
      <c r="B8" s="3" t="s">
        <v>12</v>
      </c>
    </row>
    <row r="9" spans="1:2" ht="39.6" x14ac:dyDescent="0.3">
      <c r="A9" s="2" t="s">
        <v>13</v>
      </c>
      <c r="B9" s="3" t="s">
        <v>14</v>
      </c>
    </row>
    <row r="10" spans="1:2" ht="39.6" x14ac:dyDescent="0.3">
      <c r="A10" s="2" t="s">
        <v>15</v>
      </c>
      <c r="B10" s="3" t="s">
        <v>16</v>
      </c>
    </row>
    <row r="11" spans="1:2" ht="39.6" x14ac:dyDescent="0.3">
      <c r="A11" s="2" t="s">
        <v>17</v>
      </c>
      <c r="B11" s="3" t="s">
        <v>18</v>
      </c>
    </row>
    <row r="12" spans="1:2" ht="26.4" x14ac:dyDescent="0.3">
      <c r="A12" s="2" t="s">
        <v>19</v>
      </c>
      <c r="B12" s="3" t="s">
        <v>20</v>
      </c>
    </row>
    <row r="13" spans="1:2" ht="26.4" x14ac:dyDescent="0.3">
      <c r="A13" s="2" t="s">
        <v>21</v>
      </c>
      <c r="B13" s="3"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workbookViewId="0"/>
  </sheetViews>
  <sheetFormatPr defaultRowHeight="14.4" x14ac:dyDescent="0.3"/>
  <cols>
    <col min="1" max="1" width="30" customWidth="1"/>
    <col min="2" max="7" width="9" customWidth="1"/>
    <col min="8" max="8" width="10" customWidth="1"/>
    <col min="9" max="9" width="16" customWidth="1"/>
  </cols>
  <sheetData>
    <row r="1" spans="1:9" ht="17.399999999999999" x14ac:dyDescent="0.3">
      <c r="A1" s="4" t="s">
        <v>23</v>
      </c>
    </row>
    <row r="2" spans="1:9" x14ac:dyDescent="0.3">
      <c r="A2" s="5" t="s">
        <v>24</v>
      </c>
    </row>
    <row r="4" spans="1:9" ht="30" customHeight="1" x14ac:dyDescent="0.3">
      <c r="A4" s="6" t="s">
        <v>25</v>
      </c>
      <c r="B4" s="6" t="s">
        <v>26</v>
      </c>
      <c r="C4" s="6" t="s">
        <v>27</v>
      </c>
      <c r="D4" s="6" t="s">
        <v>28</v>
      </c>
      <c r="E4" s="6" t="s">
        <v>29</v>
      </c>
      <c r="F4" s="6" t="s">
        <v>30</v>
      </c>
      <c r="G4" s="6" t="s">
        <v>31</v>
      </c>
      <c r="H4" s="6" t="s">
        <v>32</v>
      </c>
      <c r="I4" s="6" t="s">
        <v>33</v>
      </c>
    </row>
    <row r="5" spans="1:9" x14ac:dyDescent="0.3">
      <c r="A5" s="7" t="s">
        <v>34</v>
      </c>
      <c r="B5" s="7">
        <f>COUNTA('0 Setup'!$K$5:$K$18)</f>
        <v>14</v>
      </c>
      <c r="C5" s="7">
        <f>COUNTIF('0 Setup'!$K$5:$K$18,"Pass")</f>
        <v>0</v>
      </c>
      <c r="D5" s="7">
        <f>COUNTIF('0 Setup'!$K$5:$K$18,"Fail")</f>
        <v>0</v>
      </c>
      <c r="E5" s="7">
        <f>COUNTIF('0 Setup'!$K$5:$K$18,"Blocked")</f>
        <v>0</v>
      </c>
      <c r="F5" s="7">
        <f>COUNTIF('0 Setup'!$K$5:$K$18,"N/A")</f>
        <v>0</v>
      </c>
      <c r="G5" s="7">
        <f>COUNTIF('0 Setup'!$K$5:$K$18,"Not Run")</f>
        <v>14</v>
      </c>
      <c r="H5" s="8">
        <f t="shared" ref="H5:H13" si="0">IF(B5=0,0,(B5-G5)/B5)</f>
        <v>0</v>
      </c>
      <c r="I5" s="8">
        <f t="shared" ref="I5:I13" si="1">IF((C5+D5)=0,0,C5/(C5+D5))</f>
        <v>0</v>
      </c>
    </row>
    <row r="6" spans="1:9" x14ac:dyDescent="0.3">
      <c r="A6" s="7" t="s">
        <v>35</v>
      </c>
      <c r="B6" s="7">
        <f>COUNTA('1 Book a Ride'!$K$5:$K$38)</f>
        <v>34</v>
      </c>
      <c r="C6" s="7">
        <f>COUNTIF('1 Book a Ride'!$K$5:$K$38,"Pass")</f>
        <v>34</v>
      </c>
      <c r="D6" s="7">
        <f>COUNTIF('1 Book a Ride'!$K$5:$K$38,"Fail")</f>
        <v>0</v>
      </c>
      <c r="E6" s="7">
        <f>COUNTIF('1 Book a Ride'!$K$5:$K$38,"Blocked")</f>
        <v>0</v>
      </c>
      <c r="F6" s="7">
        <f>COUNTIF('1 Book a Ride'!$K$5:$K$38,"N/A")</f>
        <v>0</v>
      </c>
      <c r="G6" s="7">
        <f>COUNTIF('1 Book a Ride'!$K$5:$K$38,"Not Run")</f>
        <v>0</v>
      </c>
      <c r="H6" s="8">
        <f t="shared" si="0"/>
        <v>1</v>
      </c>
      <c r="I6" s="8">
        <f t="shared" si="1"/>
        <v>1</v>
      </c>
    </row>
    <row r="7" spans="1:9" x14ac:dyDescent="0.3">
      <c r="A7" s="7" t="s">
        <v>36</v>
      </c>
      <c r="B7" s="7">
        <f>COUNTA('2 Booking results'!$K$5:$K$33)</f>
        <v>29</v>
      </c>
      <c r="C7" s="7">
        <f>COUNTIF('2 Booking results'!$K$5:$K$33,"Pass")</f>
        <v>0</v>
      </c>
      <c r="D7" s="7">
        <f>COUNTIF('2 Booking results'!$K$5:$K$33,"Fail")</f>
        <v>0</v>
      </c>
      <c r="E7" s="7">
        <f>COUNTIF('2 Booking results'!$K$5:$K$33,"Blocked")</f>
        <v>0</v>
      </c>
      <c r="F7" s="7">
        <f>COUNTIF('2 Booking results'!$K$5:$K$33,"N/A")</f>
        <v>0</v>
      </c>
      <c r="G7" s="7">
        <f>COUNTIF('2 Booking results'!$K$5:$K$33,"Not Run")</f>
        <v>29</v>
      </c>
      <c r="H7" s="8">
        <f t="shared" si="0"/>
        <v>0</v>
      </c>
      <c r="I7" s="8">
        <f t="shared" si="1"/>
        <v>0</v>
      </c>
    </row>
    <row r="8" spans="1:9" x14ac:dyDescent="0.3">
      <c r="A8" s="7" t="s">
        <v>37</v>
      </c>
      <c r="B8" s="7">
        <f>COUNTA('3 My Bookings'!$K$5:$K$20)</f>
        <v>16</v>
      </c>
      <c r="C8" s="7">
        <f>COUNTIF('3 My Bookings'!$K$5:$K$20,"Pass")</f>
        <v>0</v>
      </c>
      <c r="D8" s="7">
        <f>COUNTIF('3 My Bookings'!$K$5:$K$20,"Fail")</f>
        <v>0</v>
      </c>
      <c r="E8" s="7">
        <f>COUNTIF('3 My Bookings'!$K$5:$K$20,"Blocked")</f>
        <v>0</v>
      </c>
      <c r="F8" s="7">
        <f>COUNTIF('3 My Bookings'!$K$5:$K$20,"N/A")</f>
        <v>0</v>
      </c>
      <c r="G8" s="7">
        <f>COUNTIF('3 My Bookings'!$K$5:$K$20,"Not Run")</f>
        <v>16</v>
      </c>
      <c r="H8" s="8">
        <f t="shared" si="0"/>
        <v>0</v>
      </c>
      <c r="I8" s="8">
        <f t="shared" si="1"/>
        <v>0</v>
      </c>
    </row>
    <row r="9" spans="1:9" x14ac:dyDescent="0.3">
      <c r="A9" s="7" t="s">
        <v>38</v>
      </c>
      <c r="B9" s="7">
        <f>COUNTA('4 Driver Dashboard'!$K$5:$K$38)</f>
        <v>34</v>
      </c>
      <c r="C9" s="7">
        <f>COUNTIF('4 Driver Dashboard'!$K$5:$K$38,"Pass")</f>
        <v>0</v>
      </c>
      <c r="D9" s="7">
        <f>COUNTIF('4 Driver Dashboard'!$K$5:$K$38,"Fail")</f>
        <v>0</v>
      </c>
      <c r="E9" s="7">
        <f>COUNTIF('4 Driver Dashboard'!$K$5:$K$38,"Blocked")</f>
        <v>0</v>
      </c>
      <c r="F9" s="7">
        <f>COUNTIF('4 Driver Dashboard'!$K$5:$K$38,"N/A")</f>
        <v>0</v>
      </c>
      <c r="G9" s="7">
        <f>COUNTIF('4 Driver Dashboard'!$K$5:$K$38,"Not Run")</f>
        <v>34</v>
      </c>
      <c r="H9" s="8">
        <f t="shared" si="0"/>
        <v>0</v>
      </c>
      <c r="I9" s="8">
        <f t="shared" si="1"/>
        <v>0</v>
      </c>
    </row>
    <row r="10" spans="1:9" x14ac:dyDescent="0.3">
      <c r="A10" s="7" t="s">
        <v>39</v>
      </c>
      <c r="B10" s="7">
        <f>COUNTA('5 Dispatch Dashboard'!$K$5:$K$39)</f>
        <v>35</v>
      </c>
      <c r="C10" s="7">
        <f>COUNTIF('5 Dispatch Dashboard'!$K$5:$K$39,"Pass")</f>
        <v>0</v>
      </c>
      <c r="D10" s="7">
        <f>COUNTIF('5 Dispatch Dashboard'!$K$5:$K$39,"Fail")</f>
        <v>0</v>
      </c>
      <c r="E10" s="7">
        <f>COUNTIF('5 Dispatch Dashboard'!$K$5:$K$39,"Blocked")</f>
        <v>0</v>
      </c>
      <c r="F10" s="7">
        <f>COUNTIF('5 Dispatch Dashboard'!$K$5:$K$39,"N/A")</f>
        <v>0</v>
      </c>
      <c r="G10" s="7">
        <f>COUNTIF('5 Dispatch Dashboard'!$K$5:$K$39,"Not Run")</f>
        <v>35</v>
      </c>
      <c r="H10" s="8">
        <f t="shared" si="0"/>
        <v>0</v>
      </c>
      <c r="I10" s="8">
        <f t="shared" si="1"/>
        <v>0</v>
      </c>
    </row>
    <row r="11" spans="1:9" x14ac:dyDescent="0.3">
      <c r="A11" s="7" t="s">
        <v>40</v>
      </c>
      <c r="B11" s="7">
        <f>COUNTA('6 Fleet Reports'!$K$5:$K$22)</f>
        <v>18</v>
      </c>
      <c r="C11" s="7">
        <f>COUNTIF('6 Fleet Reports'!$K$5:$K$22,"Pass")</f>
        <v>0</v>
      </c>
      <c r="D11" s="7">
        <f>COUNTIF('6 Fleet Reports'!$K$5:$K$22,"Fail")</f>
        <v>0</v>
      </c>
      <c r="E11" s="7">
        <f>COUNTIF('6 Fleet Reports'!$K$5:$K$22,"Blocked")</f>
        <v>0</v>
      </c>
      <c r="F11" s="7">
        <f>COUNTIF('6 Fleet Reports'!$K$5:$K$22,"N/A")</f>
        <v>0</v>
      </c>
      <c r="G11" s="7">
        <f>COUNTIF('6 Fleet Reports'!$K$5:$K$22,"Not Run")</f>
        <v>18</v>
      </c>
      <c r="H11" s="8">
        <f t="shared" si="0"/>
        <v>0</v>
      </c>
      <c r="I11" s="8">
        <f t="shared" si="1"/>
        <v>0</v>
      </c>
    </row>
    <row r="12" spans="1:9" x14ac:dyDescent="0.3">
      <c r="A12" s="7" t="s">
        <v>41</v>
      </c>
      <c r="B12" s="7">
        <f>COUNTA('7 Full journeys'!$K$5:$K$25)</f>
        <v>21</v>
      </c>
      <c r="C12" s="7">
        <f>COUNTIF('7 Full journeys'!$K$5:$K$25,"Pass")</f>
        <v>0</v>
      </c>
      <c r="D12" s="7">
        <f>COUNTIF('7 Full journeys'!$K$5:$K$25,"Fail")</f>
        <v>0</v>
      </c>
      <c r="E12" s="7">
        <f>COUNTIF('7 Full journeys'!$K$5:$K$25,"Blocked")</f>
        <v>0</v>
      </c>
      <c r="F12" s="7">
        <f>COUNTIF('7 Full journeys'!$K$5:$K$25,"N/A")</f>
        <v>0</v>
      </c>
      <c r="G12" s="7">
        <f>COUNTIF('7 Full journeys'!$K$5:$K$25,"Not Run")</f>
        <v>21</v>
      </c>
      <c r="H12" s="8">
        <f t="shared" si="0"/>
        <v>0</v>
      </c>
      <c r="I12" s="8">
        <f t="shared" si="1"/>
        <v>0</v>
      </c>
    </row>
    <row r="13" spans="1:9" x14ac:dyDescent="0.3">
      <c r="A13" s="9" t="s">
        <v>42</v>
      </c>
      <c r="B13" s="9">
        <f t="shared" ref="B13:G13" si="2">SUM(B5:B12)</f>
        <v>201</v>
      </c>
      <c r="C13" s="9">
        <f t="shared" si="2"/>
        <v>34</v>
      </c>
      <c r="D13" s="9">
        <f t="shared" si="2"/>
        <v>0</v>
      </c>
      <c r="E13" s="9">
        <f t="shared" si="2"/>
        <v>0</v>
      </c>
      <c r="F13" s="9">
        <f t="shared" si="2"/>
        <v>0</v>
      </c>
      <c r="G13" s="9">
        <f t="shared" si="2"/>
        <v>167</v>
      </c>
      <c r="H13" s="10">
        <f t="shared" si="0"/>
        <v>0.1691542288557214</v>
      </c>
      <c r="I13" s="10">
        <f t="shared" si="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
  <sheetViews>
    <sheetView topLeftCell="A42" workbookViewId="0"/>
  </sheetViews>
  <sheetFormatPr defaultRowHeight="14.4" x14ac:dyDescent="0.3"/>
  <cols>
    <col min="1" max="4" width="26" customWidth="1"/>
    <col min="5" max="5" width="22" customWidth="1"/>
    <col min="6" max="6" width="18" customWidth="1"/>
    <col min="7" max="7" width="16" customWidth="1"/>
    <col min="8" max="8" width="46" customWidth="1"/>
  </cols>
  <sheetData>
    <row r="1" spans="1:8" x14ac:dyDescent="0.3">
      <c r="A1" s="5" t="s">
        <v>43</v>
      </c>
    </row>
    <row r="3" spans="1:8" ht="15.6" x14ac:dyDescent="0.3">
      <c r="A3" s="11" t="s">
        <v>44</v>
      </c>
    </row>
    <row r="4" spans="1:8" x14ac:dyDescent="0.3">
      <c r="A4" s="12" t="s">
        <v>45</v>
      </c>
      <c r="B4" s="12" t="s">
        <v>46</v>
      </c>
      <c r="C4" s="12" t="s">
        <v>47</v>
      </c>
      <c r="D4" s="12" t="s">
        <v>48</v>
      </c>
      <c r="E4" s="12" t="s">
        <v>49</v>
      </c>
      <c r="F4" s="12" t="s">
        <v>50</v>
      </c>
      <c r="G4" s="12" t="s">
        <v>51</v>
      </c>
      <c r="H4" s="12" t="s">
        <v>52</v>
      </c>
    </row>
    <row r="5" spans="1:8" ht="26.4" x14ac:dyDescent="0.3">
      <c r="A5" s="13" t="s">
        <v>53</v>
      </c>
      <c r="B5" s="13" t="s">
        <v>54</v>
      </c>
      <c r="C5" s="13" t="s">
        <v>55</v>
      </c>
      <c r="D5" s="13" t="s">
        <v>56</v>
      </c>
      <c r="E5" s="13" t="s">
        <v>57</v>
      </c>
      <c r="F5" s="13">
        <v>1</v>
      </c>
      <c r="G5" s="13" t="s">
        <v>58</v>
      </c>
      <c r="H5" s="13" t="s">
        <v>59</v>
      </c>
    </row>
    <row r="6" spans="1:8" ht="26.4" x14ac:dyDescent="0.3">
      <c r="A6" s="13" t="s">
        <v>60</v>
      </c>
      <c r="B6" s="13" t="s">
        <v>61</v>
      </c>
      <c r="C6" s="13" t="s">
        <v>62</v>
      </c>
      <c r="D6" s="13" t="s">
        <v>63</v>
      </c>
      <c r="E6" s="13" t="s">
        <v>57</v>
      </c>
      <c r="F6" s="13">
        <v>2</v>
      </c>
      <c r="G6" s="13" t="s">
        <v>64</v>
      </c>
      <c r="H6" s="13" t="s">
        <v>65</v>
      </c>
    </row>
    <row r="7" spans="1:8" ht="26.4" x14ac:dyDescent="0.3">
      <c r="A7" s="13" t="s">
        <v>66</v>
      </c>
      <c r="B7" s="13" t="s">
        <v>67</v>
      </c>
      <c r="C7" s="13" t="s">
        <v>67</v>
      </c>
      <c r="D7" s="13" t="s">
        <v>67</v>
      </c>
      <c r="E7" s="13" t="s">
        <v>67</v>
      </c>
      <c r="F7" s="13" t="s">
        <v>67</v>
      </c>
      <c r="G7" s="13" t="s">
        <v>67</v>
      </c>
      <c r="H7" s="13" t="s">
        <v>68</v>
      </c>
    </row>
    <row r="9" spans="1:8" ht="15.6" x14ac:dyDescent="0.3">
      <c r="A9" s="11" t="s">
        <v>69</v>
      </c>
    </row>
    <row r="10" spans="1:8" x14ac:dyDescent="0.3">
      <c r="A10" s="12" t="s">
        <v>70</v>
      </c>
      <c r="B10" s="12" t="s">
        <v>71</v>
      </c>
    </row>
    <row r="11" spans="1:8" x14ac:dyDescent="0.3">
      <c r="A11" s="13" t="s">
        <v>53</v>
      </c>
      <c r="B11" s="13" t="s">
        <v>55</v>
      </c>
    </row>
    <row r="12" spans="1:8" x14ac:dyDescent="0.3">
      <c r="A12" s="13" t="s">
        <v>53</v>
      </c>
      <c r="B12" s="13" t="s">
        <v>62</v>
      </c>
    </row>
    <row r="13" spans="1:8" x14ac:dyDescent="0.3">
      <c r="A13" s="13" t="s">
        <v>60</v>
      </c>
      <c r="B13" s="13" t="s">
        <v>62</v>
      </c>
    </row>
    <row r="15" spans="1:8" ht="15.6" x14ac:dyDescent="0.3">
      <c r="A15" s="11" t="s">
        <v>72</v>
      </c>
    </row>
    <row r="16" spans="1:8" x14ac:dyDescent="0.3">
      <c r="A16" s="12" t="s">
        <v>73</v>
      </c>
      <c r="B16" s="12" t="s">
        <v>74</v>
      </c>
      <c r="C16" s="12" t="s">
        <v>75</v>
      </c>
      <c r="D16" s="12" t="s">
        <v>71</v>
      </c>
      <c r="E16" s="12" t="s">
        <v>76</v>
      </c>
      <c r="F16" s="12" t="s">
        <v>77</v>
      </c>
      <c r="G16" s="12" t="s">
        <v>78</v>
      </c>
      <c r="H16" s="12" t="s">
        <v>52</v>
      </c>
    </row>
    <row r="17" spans="1:8" x14ac:dyDescent="0.3">
      <c r="A17" s="13" t="s">
        <v>79</v>
      </c>
      <c r="B17" s="13" t="s">
        <v>80</v>
      </c>
      <c r="C17" s="13" t="s">
        <v>81</v>
      </c>
      <c r="D17" s="13" t="s">
        <v>62</v>
      </c>
      <c r="E17" s="13" t="s">
        <v>60</v>
      </c>
      <c r="F17" s="13" t="s">
        <v>57</v>
      </c>
      <c r="G17" s="13">
        <v>7</v>
      </c>
      <c r="H17" s="13" t="s">
        <v>82</v>
      </c>
    </row>
    <row r="18" spans="1:8" ht="26.4" x14ac:dyDescent="0.3">
      <c r="A18" s="13" t="s">
        <v>83</v>
      </c>
      <c r="B18" s="13" t="s">
        <v>84</v>
      </c>
      <c r="C18" s="13" t="s">
        <v>85</v>
      </c>
      <c r="D18" s="13" t="s">
        <v>86</v>
      </c>
      <c r="E18" s="13" t="s">
        <v>53</v>
      </c>
      <c r="F18" s="13" t="s">
        <v>57</v>
      </c>
      <c r="G18" s="13">
        <v>2</v>
      </c>
      <c r="H18" s="13" t="s">
        <v>87</v>
      </c>
    </row>
    <row r="19" spans="1:8" x14ac:dyDescent="0.3">
      <c r="A19" s="13" t="s">
        <v>88</v>
      </c>
      <c r="B19" s="13" t="s">
        <v>67</v>
      </c>
      <c r="C19" s="13" t="s">
        <v>67</v>
      </c>
      <c r="D19" s="13" t="s">
        <v>67</v>
      </c>
      <c r="E19" s="13" t="s">
        <v>67</v>
      </c>
      <c r="F19" s="13" t="s">
        <v>67</v>
      </c>
      <c r="G19" s="13" t="s">
        <v>67</v>
      </c>
      <c r="H19" s="13" t="s">
        <v>89</v>
      </c>
    </row>
    <row r="21" spans="1:8" ht="15.6" x14ac:dyDescent="0.3">
      <c r="A21" s="11" t="s">
        <v>90</v>
      </c>
    </row>
    <row r="22" spans="1:8" x14ac:dyDescent="0.3">
      <c r="A22" s="12" t="s">
        <v>91</v>
      </c>
      <c r="B22" s="12" t="s">
        <v>92</v>
      </c>
    </row>
    <row r="23" spans="1:8" ht="26.4" x14ac:dyDescent="0.3">
      <c r="A23" s="13" t="s">
        <v>93</v>
      </c>
      <c r="B23" s="13" t="s">
        <v>94</v>
      </c>
    </row>
    <row r="24" spans="1:8" ht="26.4" x14ac:dyDescent="0.3">
      <c r="A24" s="13" t="s">
        <v>95</v>
      </c>
      <c r="B24" s="13" t="s">
        <v>96</v>
      </c>
    </row>
    <row r="25" spans="1:8" ht="39.6" x14ac:dyDescent="0.3">
      <c r="A25" s="13" t="s">
        <v>97</v>
      </c>
      <c r="B25" s="13" t="s">
        <v>98</v>
      </c>
    </row>
    <row r="26" spans="1:8" ht="66" x14ac:dyDescent="0.3">
      <c r="A26" s="13" t="s">
        <v>99</v>
      </c>
      <c r="B26" s="13" t="s">
        <v>100</v>
      </c>
    </row>
    <row r="27" spans="1:8" ht="145.19999999999999" x14ac:dyDescent="0.3">
      <c r="A27" s="13" t="s">
        <v>101</v>
      </c>
      <c r="B27" s="13" t="s">
        <v>102</v>
      </c>
    </row>
    <row r="28" spans="1:8" ht="66" x14ac:dyDescent="0.3">
      <c r="A28" s="13" t="s">
        <v>103</v>
      </c>
      <c r="B28" s="13" t="s">
        <v>104</v>
      </c>
    </row>
    <row r="30" spans="1:8" ht="15.6" x14ac:dyDescent="0.3">
      <c r="A30" s="11" t="s">
        <v>105</v>
      </c>
    </row>
    <row r="31" spans="1:8" x14ac:dyDescent="0.3">
      <c r="A31" s="12" t="s">
        <v>106</v>
      </c>
      <c r="B31" s="12" t="s">
        <v>105</v>
      </c>
    </row>
    <row r="32" spans="1:8" ht="39.6" x14ac:dyDescent="0.3">
      <c r="A32" s="13" t="s">
        <v>107</v>
      </c>
      <c r="B32" s="13" t="s">
        <v>108</v>
      </c>
    </row>
    <row r="33" spans="1:3" x14ac:dyDescent="0.3">
      <c r="A33" s="13" t="s">
        <v>109</v>
      </c>
      <c r="B33" s="13" t="s">
        <v>110</v>
      </c>
    </row>
    <row r="34" spans="1:3" x14ac:dyDescent="0.3">
      <c r="A34" s="13" t="s">
        <v>111</v>
      </c>
      <c r="B34" s="13" t="s">
        <v>110</v>
      </c>
    </row>
    <row r="36" spans="1:3" ht="15.6" x14ac:dyDescent="0.3">
      <c r="A36" s="11" t="s">
        <v>112</v>
      </c>
    </row>
    <row r="37" spans="1:3" x14ac:dyDescent="0.3">
      <c r="A37" s="12" t="s">
        <v>113</v>
      </c>
      <c r="B37" s="12" t="s">
        <v>114</v>
      </c>
      <c r="C37" s="12" t="s">
        <v>115</v>
      </c>
    </row>
    <row r="38" spans="1:3" ht="92.4" x14ac:dyDescent="0.3">
      <c r="A38" s="13" t="s">
        <v>116</v>
      </c>
      <c r="B38" s="13" t="s">
        <v>117</v>
      </c>
      <c r="C38" s="13" t="s">
        <v>118</v>
      </c>
    </row>
    <row r="39" spans="1:3" ht="26.4" x14ac:dyDescent="0.3">
      <c r="A39" s="13" t="s">
        <v>119</v>
      </c>
      <c r="B39" s="13" t="s">
        <v>120</v>
      </c>
      <c r="C39" s="13" t="s">
        <v>121</v>
      </c>
    </row>
    <row r="40" spans="1:3" ht="39.6" x14ac:dyDescent="0.3">
      <c r="A40" s="13" t="s">
        <v>122</v>
      </c>
      <c r="B40" s="13" t="s">
        <v>123</v>
      </c>
      <c r="C40" s="13" t="s">
        <v>124</v>
      </c>
    </row>
    <row r="41" spans="1:3" ht="26.4" x14ac:dyDescent="0.3">
      <c r="A41" s="13" t="s">
        <v>125</v>
      </c>
      <c r="B41" s="13" t="s">
        <v>126</v>
      </c>
      <c r="C41" s="13" t="s">
        <v>127</v>
      </c>
    </row>
    <row r="42" spans="1:3" ht="26.4" x14ac:dyDescent="0.3">
      <c r="A42" s="13" t="s">
        <v>128</v>
      </c>
      <c r="B42" s="13" t="s">
        <v>129</v>
      </c>
      <c r="C42" s="13" t="s">
        <v>118</v>
      </c>
    </row>
    <row r="43" spans="1:3" ht="39.6" x14ac:dyDescent="0.3">
      <c r="A43" s="13" t="s">
        <v>130</v>
      </c>
      <c r="B43" s="13" t="s">
        <v>131</v>
      </c>
      <c r="C43" s="13" t="s">
        <v>132</v>
      </c>
    </row>
    <row r="44" spans="1:3" ht="39.6" x14ac:dyDescent="0.3">
      <c r="A44" s="13" t="s">
        <v>133</v>
      </c>
      <c r="B44" s="13" t="s">
        <v>134</v>
      </c>
      <c r="C44" s="13" t="s">
        <v>135</v>
      </c>
    </row>
    <row r="45" spans="1:3" ht="26.4" x14ac:dyDescent="0.3">
      <c r="A45" s="13" t="s">
        <v>136</v>
      </c>
      <c r="B45" s="13" t="s">
        <v>137</v>
      </c>
      <c r="C45" s="13" t="s">
        <v>138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139</v>
      </c>
    </row>
    <row r="2" spans="1:14" x14ac:dyDescent="0.3">
      <c r="A2" s="5" t="s">
        <v>140</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66" x14ac:dyDescent="0.3">
      <c r="A5" s="13">
        <v>1</v>
      </c>
      <c r="B5" s="14" t="s">
        <v>154</v>
      </c>
      <c r="C5" s="13" t="s">
        <v>155</v>
      </c>
      <c r="D5" s="13" t="s">
        <v>67</v>
      </c>
      <c r="E5" s="13" t="s">
        <v>156</v>
      </c>
      <c r="F5" s="13" t="s">
        <v>67</v>
      </c>
      <c r="G5" s="13" t="s">
        <v>157</v>
      </c>
      <c r="H5" s="13" t="s">
        <v>158</v>
      </c>
      <c r="I5" s="13" t="s">
        <v>67</v>
      </c>
      <c r="J5" s="15"/>
      <c r="K5" s="15" t="s">
        <v>31</v>
      </c>
      <c r="L5" s="15"/>
      <c r="M5" s="15"/>
      <c r="N5" s="15"/>
    </row>
    <row r="6" spans="1:14" ht="52.8" x14ac:dyDescent="0.3">
      <c r="A6" s="13">
        <v>2</v>
      </c>
      <c r="B6" s="14" t="s">
        <v>159</v>
      </c>
      <c r="C6" s="13" t="s">
        <v>105</v>
      </c>
      <c r="D6" s="13" t="s">
        <v>160</v>
      </c>
      <c r="E6" s="13" t="s">
        <v>156</v>
      </c>
      <c r="F6" s="13" t="s">
        <v>67</v>
      </c>
      <c r="G6" s="13" t="s">
        <v>161</v>
      </c>
      <c r="H6" s="13" t="s">
        <v>162</v>
      </c>
      <c r="I6" s="13" t="s">
        <v>67</v>
      </c>
      <c r="J6" s="15"/>
      <c r="K6" s="15" t="s">
        <v>31</v>
      </c>
      <c r="L6" s="15"/>
      <c r="M6" s="15"/>
      <c r="N6" s="15"/>
    </row>
    <row r="7" spans="1:14" ht="92.4" x14ac:dyDescent="0.3">
      <c r="A7" s="13">
        <v>3</v>
      </c>
      <c r="B7" s="14" t="s">
        <v>163</v>
      </c>
      <c r="C7" s="13" t="s">
        <v>44</v>
      </c>
      <c r="D7" s="13" t="s">
        <v>160</v>
      </c>
      <c r="E7" s="13" t="s">
        <v>156</v>
      </c>
      <c r="F7" s="13" t="s">
        <v>67</v>
      </c>
      <c r="G7" s="13" t="s">
        <v>164</v>
      </c>
      <c r="H7" s="13" t="s">
        <v>165</v>
      </c>
      <c r="I7" s="13" t="s">
        <v>67</v>
      </c>
      <c r="J7" s="15"/>
      <c r="K7" s="15" t="s">
        <v>31</v>
      </c>
      <c r="L7" s="15"/>
      <c r="M7" s="15"/>
      <c r="N7" s="15"/>
    </row>
    <row r="8" spans="1:14" ht="79.2" x14ac:dyDescent="0.3">
      <c r="A8" s="13">
        <v>4</v>
      </c>
      <c r="B8" s="14" t="s">
        <v>166</v>
      </c>
      <c r="C8" s="13" t="s">
        <v>167</v>
      </c>
      <c r="D8" s="13" t="s">
        <v>160</v>
      </c>
      <c r="E8" s="13" t="s">
        <v>156</v>
      </c>
      <c r="F8" s="13" t="s">
        <v>67</v>
      </c>
      <c r="G8" s="13" t="s">
        <v>168</v>
      </c>
      <c r="H8" s="13" t="s">
        <v>169</v>
      </c>
      <c r="I8" s="13" t="s">
        <v>67</v>
      </c>
      <c r="J8" s="15"/>
      <c r="K8" s="15" t="s">
        <v>31</v>
      </c>
      <c r="L8" s="15"/>
      <c r="M8" s="15"/>
      <c r="N8" s="15"/>
    </row>
    <row r="9" spans="1:14" ht="79.2" x14ac:dyDescent="0.3">
      <c r="A9" s="13">
        <v>5</v>
      </c>
      <c r="B9" s="14" t="s">
        <v>170</v>
      </c>
      <c r="C9" s="13" t="s">
        <v>72</v>
      </c>
      <c r="D9" s="13" t="s">
        <v>160</v>
      </c>
      <c r="E9" s="13" t="s">
        <v>156</v>
      </c>
      <c r="F9" s="13" t="s">
        <v>67</v>
      </c>
      <c r="G9" s="13" t="s">
        <v>171</v>
      </c>
      <c r="H9" s="13" t="s">
        <v>172</v>
      </c>
      <c r="I9" s="13" t="s">
        <v>67</v>
      </c>
      <c r="J9" s="15"/>
      <c r="K9" s="15" t="s">
        <v>31</v>
      </c>
      <c r="L9" s="15"/>
      <c r="M9" s="15"/>
      <c r="N9" s="15"/>
    </row>
    <row r="10" spans="1:14" ht="26.4" x14ac:dyDescent="0.3">
      <c r="A10" s="13">
        <v>6</v>
      </c>
      <c r="B10" s="14" t="s">
        <v>173</v>
      </c>
      <c r="C10" s="13" t="s">
        <v>93</v>
      </c>
      <c r="D10" s="13" t="s">
        <v>160</v>
      </c>
      <c r="E10" s="13" t="s">
        <v>156</v>
      </c>
      <c r="F10" s="13" t="s">
        <v>67</v>
      </c>
      <c r="G10" s="13" t="s">
        <v>174</v>
      </c>
      <c r="H10" s="13" t="s">
        <v>175</v>
      </c>
      <c r="I10" s="13" t="s">
        <v>67</v>
      </c>
      <c r="J10" s="15"/>
      <c r="K10" s="15" t="s">
        <v>31</v>
      </c>
      <c r="L10" s="15"/>
      <c r="M10" s="15"/>
      <c r="N10" s="15"/>
    </row>
    <row r="11" spans="1:14" ht="26.4" x14ac:dyDescent="0.3">
      <c r="A11" s="13">
        <v>7</v>
      </c>
      <c r="B11" s="14" t="s">
        <v>176</v>
      </c>
      <c r="C11" s="13" t="s">
        <v>177</v>
      </c>
      <c r="D11" s="13" t="s">
        <v>160</v>
      </c>
      <c r="E11" s="13" t="s">
        <v>156</v>
      </c>
      <c r="F11" s="13" t="s">
        <v>67</v>
      </c>
      <c r="G11" s="13" t="s">
        <v>178</v>
      </c>
      <c r="H11" s="13" t="s">
        <v>179</v>
      </c>
      <c r="I11" s="13" t="s">
        <v>67</v>
      </c>
      <c r="J11" s="15"/>
      <c r="K11" s="15" t="s">
        <v>31</v>
      </c>
      <c r="L11" s="15"/>
      <c r="M11" s="15"/>
      <c r="N11" s="15"/>
    </row>
    <row r="12" spans="1:14" ht="118.8" x14ac:dyDescent="0.3">
      <c r="A12" s="13">
        <v>8</v>
      </c>
      <c r="B12" s="14" t="s">
        <v>180</v>
      </c>
      <c r="C12" s="13" t="s">
        <v>181</v>
      </c>
      <c r="D12" s="13" t="s">
        <v>160</v>
      </c>
      <c r="E12" s="13" t="s">
        <v>156</v>
      </c>
      <c r="F12" s="13" t="s">
        <v>67</v>
      </c>
      <c r="G12" s="13" t="s">
        <v>182</v>
      </c>
      <c r="H12" s="13" t="s">
        <v>183</v>
      </c>
      <c r="I12" s="13" t="s">
        <v>67</v>
      </c>
      <c r="J12" s="15"/>
      <c r="K12" s="15" t="s">
        <v>31</v>
      </c>
      <c r="L12" s="15"/>
      <c r="M12" s="15"/>
      <c r="N12" s="15"/>
    </row>
    <row r="13" spans="1:14" ht="39.6" x14ac:dyDescent="0.3">
      <c r="A13" s="13">
        <v>9</v>
      </c>
      <c r="B13" s="14" t="s">
        <v>184</v>
      </c>
      <c r="C13" s="13" t="s">
        <v>185</v>
      </c>
      <c r="D13" s="13" t="s">
        <v>186</v>
      </c>
      <c r="E13" s="13" t="s">
        <v>156</v>
      </c>
      <c r="F13" s="16" t="s">
        <v>187</v>
      </c>
      <c r="G13" s="13" t="s">
        <v>188</v>
      </c>
      <c r="H13" s="13" t="s">
        <v>189</v>
      </c>
      <c r="I13" s="13" t="s">
        <v>67</v>
      </c>
      <c r="J13" s="15"/>
      <c r="K13" s="15" t="s">
        <v>31</v>
      </c>
      <c r="L13" s="15"/>
      <c r="M13" s="15"/>
      <c r="N13" s="15"/>
    </row>
    <row r="14" spans="1:14" ht="26.4" x14ac:dyDescent="0.3">
      <c r="A14" s="13">
        <v>10</v>
      </c>
      <c r="B14" s="14" t="s">
        <v>190</v>
      </c>
      <c r="C14" s="13" t="s">
        <v>191</v>
      </c>
      <c r="D14" s="13" t="s">
        <v>186</v>
      </c>
      <c r="E14" s="13" t="s">
        <v>156</v>
      </c>
      <c r="F14" s="13" t="s">
        <v>67</v>
      </c>
      <c r="G14" s="13" t="s">
        <v>192</v>
      </c>
      <c r="H14" s="13" t="s">
        <v>193</v>
      </c>
      <c r="I14" s="13" t="s">
        <v>67</v>
      </c>
      <c r="J14" s="15"/>
      <c r="K14" s="15" t="s">
        <v>31</v>
      </c>
      <c r="L14" s="15"/>
      <c r="M14" s="15"/>
      <c r="N14" s="15"/>
    </row>
    <row r="15" spans="1:14" ht="66" x14ac:dyDescent="0.3">
      <c r="A15" s="13">
        <v>11</v>
      </c>
      <c r="B15" s="14" t="s">
        <v>194</v>
      </c>
      <c r="C15" s="13" t="s">
        <v>195</v>
      </c>
      <c r="D15" s="13" t="s">
        <v>196</v>
      </c>
      <c r="E15" s="13" t="s">
        <v>156</v>
      </c>
      <c r="F15" s="13" t="s">
        <v>67</v>
      </c>
      <c r="G15" s="13" t="s">
        <v>197</v>
      </c>
      <c r="H15" s="13" t="s">
        <v>198</v>
      </c>
      <c r="I15" s="13" t="s">
        <v>67</v>
      </c>
      <c r="J15" s="15"/>
      <c r="K15" s="15" t="s">
        <v>31</v>
      </c>
      <c r="L15" s="15"/>
      <c r="M15" s="15"/>
      <c r="N15" s="15"/>
    </row>
    <row r="16" spans="1:14" ht="79.2" x14ac:dyDescent="0.3">
      <c r="A16" s="13">
        <v>12</v>
      </c>
      <c r="B16" s="14" t="s">
        <v>199</v>
      </c>
      <c r="C16" s="13" t="s">
        <v>200</v>
      </c>
      <c r="D16" s="13" t="s">
        <v>186</v>
      </c>
      <c r="E16" s="13" t="s">
        <v>156</v>
      </c>
      <c r="F16" s="16" t="s">
        <v>201</v>
      </c>
      <c r="G16" s="13" t="s">
        <v>202</v>
      </c>
      <c r="H16" s="13" t="s">
        <v>203</v>
      </c>
      <c r="I16" s="13" t="s">
        <v>67</v>
      </c>
      <c r="J16" s="15"/>
      <c r="K16" s="15" t="s">
        <v>31</v>
      </c>
      <c r="L16" s="15"/>
      <c r="M16" s="15"/>
      <c r="N16" s="15"/>
    </row>
    <row r="17" spans="1:14" ht="39.6" x14ac:dyDescent="0.3">
      <c r="A17" s="13">
        <v>13</v>
      </c>
      <c r="B17" s="14" t="s">
        <v>204</v>
      </c>
      <c r="C17" s="13" t="s">
        <v>205</v>
      </c>
      <c r="D17" s="13" t="s">
        <v>186</v>
      </c>
      <c r="E17" s="13" t="s">
        <v>206</v>
      </c>
      <c r="F17" s="16" t="s">
        <v>207</v>
      </c>
      <c r="G17" s="13" t="s">
        <v>208</v>
      </c>
      <c r="H17" s="13" t="s">
        <v>209</v>
      </c>
      <c r="I17" s="13" t="s">
        <v>67</v>
      </c>
      <c r="J17" s="15"/>
      <c r="K17" s="15" t="s">
        <v>31</v>
      </c>
      <c r="L17" s="15"/>
      <c r="M17" s="15"/>
      <c r="N17" s="15"/>
    </row>
    <row r="18" spans="1:14" ht="105.6" x14ac:dyDescent="0.3">
      <c r="A18" s="13">
        <v>14</v>
      </c>
      <c r="B18" s="14" t="s">
        <v>210</v>
      </c>
      <c r="C18" s="13" t="s">
        <v>211</v>
      </c>
      <c r="D18" s="13" t="s">
        <v>212</v>
      </c>
      <c r="E18" s="13" t="s">
        <v>156</v>
      </c>
      <c r="F18" s="16" t="s">
        <v>213</v>
      </c>
      <c r="G18" s="13" t="s">
        <v>214</v>
      </c>
      <c r="H18" s="13" t="s">
        <v>215</v>
      </c>
      <c r="I18" s="13" t="s">
        <v>67</v>
      </c>
      <c r="J18" s="15"/>
      <c r="K18" s="15" t="s">
        <v>31</v>
      </c>
      <c r="L18" s="15"/>
      <c r="M18" s="15"/>
      <c r="N18" s="15"/>
    </row>
  </sheetData>
  <autoFilter ref="A4:N18" xr:uid="{00000000-0009-0000-0000-000003000000}"/>
  <conditionalFormatting sqref="K5:K18">
    <cfRule type="cellIs" dxfId="20" priority="1" operator="equal">
      <formula>"Pass"</formula>
    </cfRule>
    <cfRule type="cellIs" dxfId="19" priority="2" operator="equal">
      <formula>"Fail"</formula>
    </cfRule>
    <cfRule type="cellIs" dxfId="18" priority="3" operator="equal">
      <formula>"Blocked"</formula>
    </cfRule>
  </conditionalFormatting>
  <dataValidations count="1">
    <dataValidation type="list" sqref="K5:K18" xr:uid="{00000000-0002-0000-0300-000000000000}">
      <formula1>"Not Run,Pass,Fail,Blocked,N/A"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8"/>
  <sheetViews>
    <sheetView tabSelected="1" zoomScale="90" workbookViewId="0">
      <pane xSplit="3" ySplit="4" topLeftCell="G34" activePane="bottomRight" state="frozen"/>
      <selection pane="topRight"/>
      <selection pane="bottomLeft"/>
      <selection pane="bottomRight" activeCell="J38" sqref="J38:N38"/>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216</v>
      </c>
    </row>
    <row r="2" spans="1:14" x14ac:dyDescent="0.3">
      <c r="A2" s="5" t="s">
        <v>217</v>
      </c>
    </row>
    <row r="4" spans="1:14" ht="30" customHeight="1" thickBot="1" x14ac:dyDescent="0.35">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53.4" thickBot="1" x14ac:dyDescent="0.35">
      <c r="A5" s="13">
        <v>1</v>
      </c>
      <c r="B5" s="14" t="s">
        <v>218</v>
      </c>
      <c r="C5" s="13" t="s">
        <v>219</v>
      </c>
      <c r="D5" s="13" t="s">
        <v>186</v>
      </c>
      <c r="E5" s="13" t="s">
        <v>156</v>
      </c>
      <c r="F5" s="13" t="s">
        <v>67</v>
      </c>
      <c r="G5" s="13" t="s">
        <v>220</v>
      </c>
      <c r="H5" s="13" t="s">
        <v>221</v>
      </c>
      <c r="I5" s="13" t="s">
        <v>67</v>
      </c>
      <c r="J5" s="19" t="s">
        <v>1318</v>
      </c>
      <c r="K5" s="20" t="s">
        <v>27</v>
      </c>
      <c r="L5" s="21"/>
      <c r="M5" s="22" t="s">
        <v>109</v>
      </c>
      <c r="N5" s="23">
        <v>46275</v>
      </c>
    </row>
    <row r="6" spans="1:14" ht="27" thickBot="1" x14ac:dyDescent="0.35">
      <c r="A6" s="13">
        <v>2</v>
      </c>
      <c r="B6" s="14" t="s">
        <v>222</v>
      </c>
      <c r="C6" s="13" t="s">
        <v>223</v>
      </c>
      <c r="D6" s="13" t="s">
        <v>186</v>
      </c>
      <c r="E6" s="13" t="s">
        <v>156</v>
      </c>
      <c r="F6" s="13" t="s">
        <v>67</v>
      </c>
      <c r="G6" s="13" t="s">
        <v>224</v>
      </c>
      <c r="H6" s="13" t="s">
        <v>225</v>
      </c>
      <c r="I6" s="13" t="s">
        <v>67</v>
      </c>
      <c r="J6" s="19" t="s">
        <v>1318</v>
      </c>
      <c r="K6" s="20" t="s">
        <v>27</v>
      </c>
      <c r="L6" s="21"/>
      <c r="M6" s="22" t="s">
        <v>109</v>
      </c>
      <c r="N6" s="23">
        <v>46275</v>
      </c>
    </row>
    <row r="7" spans="1:14" ht="40.200000000000003" thickBot="1" x14ac:dyDescent="0.35">
      <c r="A7" s="13">
        <v>3</v>
      </c>
      <c r="B7" s="14" t="s">
        <v>226</v>
      </c>
      <c r="C7" s="13" t="s">
        <v>227</v>
      </c>
      <c r="D7" s="13" t="s">
        <v>186</v>
      </c>
      <c r="E7" s="13" t="s">
        <v>156</v>
      </c>
      <c r="F7" s="13" t="s">
        <v>67</v>
      </c>
      <c r="G7" s="13" t="s">
        <v>228</v>
      </c>
      <c r="H7" s="13" t="s">
        <v>229</v>
      </c>
      <c r="I7" s="13" t="s">
        <v>67</v>
      </c>
      <c r="J7" s="19" t="s">
        <v>1318</v>
      </c>
      <c r="K7" s="20" t="s">
        <v>27</v>
      </c>
      <c r="L7" s="21"/>
      <c r="M7" s="22" t="s">
        <v>109</v>
      </c>
      <c r="N7" s="23">
        <v>46275</v>
      </c>
    </row>
    <row r="8" spans="1:14" ht="27" thickBot="1" x14ac:dyDescent="0.35">
      <c r="A8" s="13">
        <v>4</v>
      </c>
      <c r="B8" s="14" t="s">
        <v>230</v>
      </c>
      <c r="C8" s="13" t="s">
        <v>231</v>
      </c>
      <c r="D8" s="13" t="s">
        <v>186</v>
      </c>
      <c r="E8" s="13" t="s">
        <v>156</v>
      </c>
      <c r="F8" s="13" t="s">
        <v>67</v>
      </c>
      <c r="G8" s="13" t="s">
        <v>232</v>
      </c>
      <c r="H8" s="13" t="s">
        <v>233</v>
      </c>
      <c r="I8" s="13" t="s">
        <v>67</v>
      </c>
      <c r="J8" s="19" t="s">
        <v>1318</v>
      </c>
      <c r="K8" s="20" t="s">
        <v>27</v>
      </c>
      <c r="L8" s="21"/>
      <c r="M8" s="22" t="s">
        <v>109</v>
      </c>
      <c r="N8" s="23">
        <v>46275</v>
      </c>
    </row>
    <row r="9" spans="1:14" ht="27" thickBot="1" x14ac:dyDescent="0.35">
      <c r="A9" s="13">
        <v>5</v>
      </c>
      <c r="B9" s="14" t="s">
        <v>234</v>
      </c>
      <c r="C9" s="13" t="s">
        <v>235</v>
      </c>
      <c r="D9" s="13" t="s">
        <v>186</v>
      </c>
      <c r="E9" s="13" t="s">
        <v>206</v>
      </c>
      <c r="F9" s="13" t="s">
        <v>67</v>
      </c>
      <c r="G9" s="13" t="s">
        <v>236</v>
      </c>
      <c r="H9" s="13" t="s">
        <v>237</v>
      </c>
      <c r="I9" s="13" t="s">
        <v>67</v>
      </c>
      <c r="J9" s="19" t="s">
        <v>1318</v>
      </c>
      <c r="K9" s="20" t="s">
        <v>27</v>
      </c>
      <c r="L9" s="21"/>
      <c r="M9" s="22" t="s">
        <v>109</v>
      </c>
      <c r="N9" s="23">
        <v>46275</v>
      </c>
    </row>
    <row r="10" spans="1:14" ht="15" thickBot="1" x14ac:dyDescent="0.35">
      <c r="A10" s="13">
        <v>6</v>
      </c>
      <c r="B10" s="14" t="s">
        <v>238</v>
      </c>
      <c r="C10" s="13" t="s">
        <v>239</v>
      </c>
      <c r="D10" s="13" t="s">
        <v>186</v>
      </c>
      <c r="E10" s="13" t="s">
        <v>206</v>
      </c>
      <c r="F10" s="13" t="s">
        <v>67</v>
      </c>
      <c r="G10" s="13" t="s">
        <v>240</v>
      </c>
      <c r="H10" s="13" t="s">
        <v>241</v>
      </c>
      <c r="I10" s="13" t="s">
        <v>67</v>
      </c>
      <c r="J10" s="19" t="s">
        <v>1318</v>
      </c>
      <c r="K10" s="20" t="s">
        <v>27</v>
      </c>
      <c r="L10" s="21"/>
      <c r="M10" s="22" t="s">
        <v>109</v>
      </c>
      <c r="N10" s="23">
        <v>46275</v>
      </c>
    </row>
    <row r="11" spans="1:14" ht="27" thickBot="1" x14ac:dyDescent="0.35">
      <c r="A11" s="13">
        <v>7</v>
      </c>
      <c r="B11" s="14" t="s">
        <v>242</v>
      </c>
      <c r="C11" s="13" t="s">
        <v>243</v>
      </c>
      <c r="D11" s="13" t="s">
        <v>186</v>
      </c>
      <c r="E11" s="13" t="s">
        <v>156</v>
      </c>
      <c r="F11" s="16" t="s">
        <v>244</v>
      </c>
      <c r="G11" s="13" t="s">
        <v>245</v>
      </c>
      <c r="H11" s="13" t="s">
        <v>246</v>
      </c>
      <c r="I11" s="13" t="s">
        <v>67</v>
      </c>
      <c r="J11" s="19" t="s">
        <v>1318</v>
      </c>
      <c r="K11" s="20" t="s">
        <v>27</v>
      </c>
      <c r="L11" s="21"/>
      <c r="M11" s="22" t="s">
        <v>109</v>
      </c>
      <c r="N11" s="23">
        <v>46275</v>
      </c>
    </row>
    <row r="12" spans="1:14" ht="15" thickBot="1" x14ac:dyDescent="0.35">
      <c r="A12" s="13">
        <v>8</v>
      </c>
      <c r="B12" s="14" t="s">
        <v>247</v>
      </c>
      <c r="C12" s="13" t="s">
        <v>248</v>
      </c>
      <c r="D12" s="13" t="s">
        <v>186</v>
      </c>
      <c r="E12" s="13" t="s">
        <v>156</v>
      </c>
      <c r="F12" s="13" t="s">
        <v>67</v>
      </c>
      <c r="G12" s="13" t="s">
        <v>249</v>
      </c>
      <c r="H12" s="13" t="s">
        <v>250</v>
      </c>
      <c r="I12" s="13" t="s">
        <v>67</v>
      </c>
      <c r="J12" s="19" t="s">
        <v>1318</v>
      </c>
      <c r="K12" s="20" t="s">
        <v>27</v>
      </c>
      <c r="L12" s="21"/>
      <c r="M12" s="22" t="s">
        <v>109</v>
      </c>
      <c r="N12" s="23">
        <v>46275</v>
      </c>
    </row>
    <row r="13" spans="1:14" ht="27" thickBot="1" x14ac:dyDescent="0.35">
      <c r="A13" s="13">
        <v>9</v>
      </c>
      <c r="B13" s="14" t="s">
        <v>251</v>
      </c>
      <c r="C13" s="13" t="s">
        <v>252</v>
      </c>
      <c r="D13" s="13" t="s">
        <v>186</v>
      </c>
      <c r="E13" s="13" t="s">
        <v>156</v>
      </c>
      <c r="F13" s="13" t="s">
        <v>67</v>
      </c>
      <c r="G13" s="13" t="s">
        <v>253</v>
      </c>
      <c r="H13" s="13" t="s">
        <v>254</v>
      </c>
      <c r="I13" s="13" t="s">
        <v>67</v>
      </c>
      <c r="J13" s="19" t="s">
        <v>1318</v>
      </c>
      <c r="K13" s="20" t="s">
        <v>27</v>
      </c>
      <c r="L13" s="21"/>
      <c r="M13" s="22" t="s">
        <v>109</v>
      </c>
      <c r="N13" s="23">
        <v>46275</v>
      </c>
    </row>
    <row r="14" spans="1:14" ht="40.200000000000003" thickBot="1" x14ac:dyDescent="0.35">
      <c r="A14" s="13">
        <v>10</v>
      </c>
      <c r="B14" s="14" t="s">
        <v>255</v>
      </c>
      <c r="C14" s="13" t="s">
        <v>256</v>
      </c>
      <c r="D14" s="13" t="s">
        <v>186</v>
      </c>
      <c r="E14" s="13" t="s">
        <v>206</v>
      </c>
      <c r="F14" s="13" t="s">
        <v>67</v>
      </c>
      <c r="G14" s="13" t="s">
        <v>257</v>
      </c>
      <c r="H14" s="13" t="s">
        <v>258</v>
      </c>
      <c r="I14" s="13" t="s">
        <v>67</v>
      </c>
      <c r="J14" s="19" t="s">
        <v>1318</v>
      </c>
      <c r="K14" s="20" t="s">
        <v>27</v>
      </c>
      <c r="L14" s="21"/>
      <c r="M14" s="22" t="s">
        <v>109</v>
      </c>
      <c r="N14" s="23">
        <v>46275</v>
      </c>
    </row>
    <row r="15" spans="1:14" ht="15" thickBot="1" x14ac:dyDescent="0.35">
      <c r="A15" s="13">
        <v>11</v>
      </c>
      <c r="B15" s="14" t="s">
        <v>259</v>
      </c>
      <c r="C15" s="13" t="s">
        <v>260</v>
      </c>
      <c r="D15" s="13" t="s">
        <v>186</v>
      </c>
      <c r="E15" s="13" t="s">
        <v>206</v>
      </c>
      <c r="F15" s="16" t="s">
        <v>261</v>
      </c>
      <c r="G15" s="13" t="s">
        <v>262</v>
      </c>
      <c r="H15" s="13" t="s">
        <v>263</v>
      </c>
      <c r="I15" s="16" t="s">
        <v>264</v>
      </c>
      <c r="J15" s="19" t="s">
        <v>1318</v>
      </c>
      <c r="K15" s="20" t="s">
        <v>27</v>
      </c>
      <c r="L15" s="21"/>
      <c r="M15" s="22" t="s">
        <v>109</v>
      </c>
      <c r="N15" s="23">
        <v>46275</v>
      </c>
    </row>
    <row r="16" spans="1:14" ht="27" thickBot="1" x14ac:dyDescent="0.35">
      <c r="A16" s="13">
        <v>12</v>
      </c>
      <c r="B16" s="14" t="s">
        <v>265</v>
      </c>
      <c r="C16" s="13" t="s">
        <v>266</v>
      </c>
      <c r="D16" s="13" t="s">
        <v>186</v>
      </c>
      <c r="E16" s="13" t="s">
        <v>156</v>
      </c>
      <c r="F16" s="16" t="s">
        <v>267</v>
      </c>
      <c r="G16" s="13" t="s">
        <v>268</v>
      </c>
      <c r="H16" s="13" t="s">
        <v>269</v>
      </c>
      <c r="I16" s="13" t="s">
        <v>67</v>
      </c>
      <c r="J16" s="19" t="s">
        <v>1318</v>
      </c>
      <c r="K16" s="20" t="s">
        <v>27</v>
      </c>
      <c r="L16" s="21"/>
      <c r="M16" s="22" t="s">
        <v>109</v>
      </c>
      <c r="N16" s="23">
        <v>46275</v>
      </c>
    </row>
    <row r="17" spans="1:14" ht="27" thickBot="1" x14ac:dyDescent="0.35">
      <c r="A17" s="13">
        <v>13</v>
      </c>
      <c r="B17" s="14" t="s">
        <v>270</v>
      </c>
      <c r="C17" s="13" t="s">
        <v>271</v>
      </c>
      <c r="D17" s="13" t="s">
        <v>186</v>
      </c>
      <c r="E17" s="13" t="s">
        <v>156</v>
      </c>
      <c r="F17" s="16" t="s">
        <v>272</v>
      </c>
      <c r="G17" s="13" t="s">
        <v>273</v>
      </c>
      <c r="H17" s="13" t="s">
        <v>274</v>
      </c>
      <c r="I17" s="13" t="s">
        <v>67</v>
      </c>
      <c r="J17" s="19" t="s">
        <v>1318</v>
      </c>
      <c r="K17" s="20" t="s">
        <v>27</v>
      </c>
      <c r="L17" s="21"/>
      <c r="M17" s="22" t="s">
        <v>109</v>
      </c>
      <c r="N17" s="23">
        <v>46275</v>
      </c>
    </row>
    <row r="18" spans="1:14" ht="15" thickBot="1" x14ac:dyDescent="0.35">
      <c r="A18" s="13">
        <v>14</v>
      </c>
      <c r="B18" s="14" t="s">
        <v>275</v>
      </c>
      <c r="C18" s="13" t="s">
        <v>276</v>
      </c>
      <c r="D18" s="13" t="s">
        <v>186</v>
      </c>
      <c r="E18" s="13" t="s">
        <v>156</v>
      </c>
      <c r="F18" s="16" t="s">
        <v>277</v>
      </c>
      <c r="G18" s="13" t="s">
        <v>273</v>
      </c>
      <c r="H18" s="13" t="s">
        <v>278</v>
      </c>
      <c r="I18" s="13" t="s">
        <v>67</v>
      </c>
      <c r="J18" s="19" t="s">
        <v>1318</v>
      </c>
      <c r="K18" s="20" t="s">
        <v>27</v>
      </c>
      <c r="L18" s="21"/>
      <c r="M18" s="22" t="s">
        <v>109</v>
      </c>
      <c r="N18" s="23">
        <v>46275</v>
      </c>
    </row>
    <row r="19" spans="1:14" ht="40.200000000000003" thickBot="1" x14ac:dyDescent="0.35">
      <c r="A19" s="13">
        <v>15</v>
      </c>
      <c r="B19" s="14" t="s">
        <v>279</v>
      </c>
      <c r="C19" s="13" t="s">
        <v>280</v>
      </c>
      <c r="D19" s="13" t="s">
        <v>186</v>
      </c>
      <c r="E19" s="13" t="s">
        <v>156</v>
      </c>
      <c r="F19" s="16" t="s">
        <v>281</v>
      </c>
      <c r="G19" s="13" t="s">
        <v>273</v>
      </c>
      <c r="H19" s="13" t="s">
        <v>282</v>
      </c>
      <c r="I19" s="13" t="s">
        <v>67</v>
      </c>
      <c r="J19" s="19" t="s">
        <v>1318</v>
      </c>
      <c r="K19" s="20" t="s">
        <v>27</v>
      </c>
      <c r="L19" s="21"/>
      <c r="M19" s="22" t="s">
        <v>109</v>
      </c>
      <c r="N19" s="23">
        <v>46275</v>
      </c>
    </row>
    <row r="20" spans="1:14" ht="27" thickBot="1" x14ac:dyDescent="0.35">
      <c r="A20" s="13">
        <v>16</v>
      </c>
      <c r="B20" s="14" t="s">
        <v>283</v>
      </c>
      <c r="C20" s="13" t="s">
        <v>284</v>
      </c>
      <c r="D20" s="13" t="s">
        <v>186</v>
      </c>
      <c r="E20" s="13" t="s">
        <v>206</v>
      </c>
      <c r="F20" s="16" t="s">
        <v>285</v>
      </c>
      <c r="G20" s="13" t="s">
        <v>286</v>
      </c>
      <c r="H20" s="13" t="s">
        <v>287</v>
      </c>
      <c r="I20" s="13" t="s">
        <v>67</v>
      </c>
      <c r="J20" s="19" t="s">
        <v>1318</v>
      </c>
      <c r="K20" s="20" t="s">
        <v>27</v>
      </c>
      <c r="L20" s="21"/>
      <c r="M20" s="22" t="s">
        <v>109</v>
      </c>
      <c r="N20" s="23">
        <v>46275</v>
      </c>
    </row>
    <row r="21" spans="1:14" ht="27" thickBot="1" x14ac:dyDescent="0.35">
      <c r="A21" s="13">
        <v>17</v>
      </c>
      <c r="B21" s="14" t="s">
        <v>288</v>
      </c>
      <c r="C21" s="13" t="s">
        <v>289</v>
      </c>
      <c r="D21" s="13" t="s">
        <v>186</v>
      </c>
      <c r="E21" s="13" t="s">
        <v>156</v>
      </c>
      <c r="F21" s="13" t="s">
        <v>67</v>
      </c>
      <c r="G21" s="13" t="s">
        <v>290</v>
      </c>
      <c r="H21" s="13" t="s">
        <v>291</v>
      </c>
      <c r="I21" s="13" t="s">
        <v>67</v>
      </c>
      <c r="J21" s="19" t="s">
        <v>1318</v>
      </c>
      <c r="K21" s="20" t="s">
        <v>27</v>
      </c>
      <c r="L21" s="21"/>
      <c r="M21" s="22" t="s">
        <v>109</v>
      </c>
      <c r="N21" s="23">
        <v>46275</v>
      </c>
    </row>
    <row r="22" spans="1:14" ht="27" thickBot="1" x14ac:dyDescent="0.35">
      <c r="A22" s="13">
        <v>18</v>
      </c>
      <c r="B22" s="14" t="s">
        <v>292</v>
      </c>
      <c r="C22" s="13" t="s">
        <v>293</v>
      </c>
      <c r="D22" s="13" t="s">
        <v>186</v>
      </c>
      <c r="E22" s="13" t="s">
        <v>206</v>
      </c>
      <c r="F22" s="16" t="s">
        <v>294</v>
      </c>
      <c r="G22" s="13" t="s">
        <v>295</v>
      </c>
      <c r="H22" s="13" t="s">
        <v>296</v>
      </c>
      <c r="I22" s="13" t="s">
        <v>67</v>
      </c>
      <c r="J22" s="19" t="s">
        <v>1318</v>
      </c>
      <c r="K22" s="20" t="s">
        <v>27</v>
      </c>
      <c r="L22" s="21"/>
      <c r="M22" s="22" t="s">
        <v>109</v>
      </c>
      <c r="N22" s="23">
        <v>46275</v>
      </c>
    </row>
    <row r="23" spans="1:14" ht="27" thickBot="1" x14ac:dyDescent="0.35">
      <c r="A23" s="13">
        <v>19</v>
      </c>
      <c r="B23" s="14" t="s">
        <v>297</v>
      </c>
      <c r="C23" s="13" t="s">
        <v>298</v>
      </c>
      <c r="D23" s="13" t="s">
        <v>186</v>
      </c>
      <c r="E23" s="13" t="s">
        <v>206</v>
      </c>
      <c r="F23" s="16" t="s">
        <v>299</v>
      </c>
      <c r="G23" s="13" t="s">
        <v>300</v>
      </c>
      <c r="H23" s="13" t="s">
        <v>301</v>
      </c>
      <c r="I23" s="16" t="s">
        <v>302</v>
      </c>
      <c r="J23" s="19" t="s">
        <v>1318</v>
      </c>
      <c r="K23" s="20" t="s">
        <v>27</v>
      </c>
      <c r="L23" s="21"/>
      <c r="M23" s="22" t="s">
        <v>109</v>
      </c>
      <c r="N23" s="23">
        <v>46275</v>
      </c>
    </row>
    <row r="24" spans="1:14" ht="15" thickBot="1" x14ac:dyDescent="0.35">
      <c r="A24" s="13">
        <v>20</v>
      </c>
      <c r="B24" s="14" t="s">
        <v>303</v>
      </c>
      <c r="C24" s="13" t="s">
        <v>304</v>
      </c>
      <c r="D24" s="13" t="s">
        <v>186</v>
      </c>
      <c r="E24" s="13" t="s">
        <v>206</v>
      </c>
      <c r="F24" s="16" t="s">
        <v>305</v>
      </c>
      <c r="G24" s="13" t="s">
        <v>306</v>
      </c>
      <c r="H24" s="13" t="s">
        <v>307</v>
      </c>
      <c r="I24" s="13" t="s">
        <v>67</v>
      </c>
      <c r="J24" s="19" t="s">
        <v>1318</v>
      </c>
      <c r="K24" s="20" t="s">
        <v>27</v>
      </c>
      <c r="L24" s="21"/>
      <c r="M24" s="22" t="s">
        <v>109</v>
      </c>
      <c r="N24" s="23">
        <v>46275</v>
      </c>
    </row>
    <row r="25" spans="1:14" ht="27" thickBot="1" x14ac:dyDescent="0.35">
      <c r="A25" s="13">
        <v>21</v>
      </c>
      <c r="B25" s="14" t="s">
        <v>308</v>
      </c>
      <c r="C25" s="13" t="s">
        <v>309</v>
      </c>
      <c r="D25" s="13" t="s">
        <v>186</v>
      </c>
      <c r="E25" s="13" t="s">
        <v>310</v>
      </c>
      <c r="F25" s="13" t="s">
        <v>67</v>
      </c>
      <c r="G25" s="13" t="s">
        <v>311</v>
      </c>
      <c r="H25" s="13" t="s">
        <v>312</v>
      </c>
      <c r="I25" s="13" t="s">
        <v>67</v>
      </c>
      <c r="J25" s="19" t="s">
        <v>1318</v>
      </c>
      <c r="K25" s="20" t="s">
        <v>27</v>
      </c>
      <c r="L25" s="21"/>
      <c r="M25" s="22" t="s">
        <v>109</v>
      </c>
      <c r="N25" s="23">
        <v>46275</v>
      </c>
    </row>
    <row r="26" spans="1:14" ht="15" thickBot="1" x14ac:dyDescent="0.35">
      <c r="A26" s="13">
        <v>22</v>
      </c>
      <c r="B26" s="14" t="s">
        <v>313</v>
      </c>
      <c r="C26" s="13" t="s">
        <v>314</v>
      </c>
      <c r="D26" s="13" t="s">
        <v>186</v>
      </c>
      <c r="E26" s="13" t="s">
        <v>206</v>
      </c>
      <c r="F26" s="16" t="s">
        <v>315</v>
      </c>
      <c r="G26" s="13" t="s">
        <v>316</v>
      </c>
      <c r="H26" s="13" t="s">
        <v>317</v>
      </c>
      <c r="I26" s="13" t="s">
        <v>67</v>
      </c>
      <c r="J26" s="19" t="s">
        <v>1318</v>
      </c>
      <c r="K26" s="20" t="s">
        <v>27</v>
      </c>
      <c r="L26" s="21"/>
      <c r="M26" s="22" t="s">
        <v>109</v>
      </c>
      <c r="N26" s="23">
        <v>46275</v>
      </c>
    </row>
    <row r="27" spans="1:14" ht="79.8" thickBot="1" x14ac:dyDescent="0.35">
      <c r="A27" s="13">
        <v>23</v>
      </c>
      <c r="B27" s="14" t="s">
        <v>318</v>
      </c>
      <c r="C27" s="13" t="s">
        <v>319</v>
      </c>
      <c r="D27" s="13" t="s">
        <v>186</v>
      </c>
      <c r="E27" s="13" t="s">
        <v>156</v>
      </c>
      <c r="F27" s="13" t="s">
        <v>320</v>
      </c>
      <c r="G27" s="13" t="s">
        <v>321</v>
      </c>
      <c r="H27" s="13" t="s">
        <v>322</v>
      </c>
      <c r="I27" s="16" t="s">
        <v>323</v>
      </c>
      <c r="J27" s="19" t="s">
        <v>1318</v>
      </c>
      <c r="K27" s="20" t="s">
        <v>27</v>
      </c>
      <c r="L27" s="21"/>
      <c r="M27" s="22" t="s">
        <v>109</v>
      </c>
      <c r="N27" s="23">
        <v>46275</v>
      </c>
    </row>
    <row r="28" spans="1:14" ht="27" thickBot="1" x14ac:dyDescent="0.35">
      <c r="A28" s="13">
        <v>24</v>
      </c>
      <c r="B28" s="14" t="s">
        <v>324</v>
      </c>
      <c r="C28" s="13" t="s">
        <v>325</v>
      </c>
      <c r="D28" s="13" t="s">
        <v>186</v>
      </c>
      <c r="E28" s="13" t="s">
        <v>156</v>
      </c>
      <c r="F28" s="16" t="s">
        <v>326</v>
      </c>
      <c r="G28" s="13" t="s">
        <v>327</v>
      </c>
      <c r="H28" s="13" t="s">
        <v>328</v>
      </c>
      <c r="I28" s="13" t="s">
        <v>67</v>
      </c>
      <c r="J28" s="19" t="s">
        <v>1318</v>
      </c>
      <c r="K28" s="20" t="s">
        <v>27</v>
      </c>
      <c r="L28" s="21"/>
      <c r="M28" s="22" t="s">
        <v>109</v>
      </c>
      <c r="N28" s="23">
        <v>46275</v>
      </c>
    </row>
    <row r="29" spans="1:14" ht="15" thickBot="1" x14ac:dyDescent="0.35">
      <c r="A29" s="13">
        <v>25</v>
      </c>
      <c r="B29" s="14" t="s">
        <v>329</v>
      </c>
      <c r="C29" s="13" t="s">
        <v>330</v>
      </c>
      <c r="D29" s="13" t="s">
        <v>186</v>
      </c>
      <c r="E29" s="13" t="s">
        <v>206</v>
      </c>
      <c r="F29" s="16" t="s">
        <v>331</v>
      </c>
      <c r="G29" s="13" t="s">
        <v>332</v>
      </c>
      <c r="H29" s="13" t="s">
        <v>333</v>
      </c>
      <c r="I29" s="13" t="s">
        <v>67</v>
      </c>
      <c r="J29" s="19" t="s">
        <v>1318</v>
      </c>
      <c r="K29" s="20" t="s">
        <v>27</v>
      </c>
      <c r="L29" s="21"/>
      <c r="M29" s="22" t="s">
        <v>109</v>
      </c>
      <c r="N29" s="23">
        <v>46275</v>
      </c>
    </row>
    <row r="30" spans="1:14" ht="53.4" thickBot="1" x14ac:dyDescent="0.35">
      <c r="A30" s="13">
        <v>26</v>
      </c>
      <c r="B30" s="14" t="s">
        <v>334</v>
      </c>
      <c r="C30" s="13" t="s">
        <v>335</v>
      </c>
      <c r="D30" s="13" t="s">
        <v>336</v>
      </c>
      <c r="E30" s="13" t="s">
        <v>156</v>
      </c>
      <c r="F30" s="16" t="s">
        <v>337</v>
      </c>
      <c r="G30" s="13" t="s">
        <v>338</v>
      </c>
      <c r="H30" s="13" t="s">
        <v>339</v>
      </c>
      <c r="I30" s="13" t="s">
        <v>67</v>
      </c>
      <c r="J30" s="19" t="s">
        <v>1318</v>
      </c>
      <c r="K30" s="20" t="s">
        <v>27</v>
      </c>
      <c r="L30" s="21"/>
      <c r="M30" s="22" t="s">
        <v>109</v>
      </c>
      <c r="N30" s="23">
        <v>46275</v>
      </c>
    </row>
    <row r="31" spans="1:14" ht="53.4" thickBot="1" x14ac:dyDescent="0.35">
      <c r="A31" s="13">
        <v>27</v>
      </c>
      <c r="B31" s="14" t="s">
        <v>340</v>
      </c>
      <c r="C31" s="13" t="s">
        <v>341</v>
      </c>
      <c r="D31" s="13" t="s">
        <v>336</v>
      </c>
      <c r="E31" s="13" t="s">
        <v>156</v>
      </c>
      <c r="F31" s="16" t="s">
        <v>342</v>
      </c>
      <c r="G31" s="13" t="s">
        <v>343</v>
      </c>
      <c r="H31" s="13" t="s">
        <v>344</v>
      </c>
      <c r="I31" s="13" t="s">
        <v>67</v>
      </c>
      <c r="J31" s="19" t="s">
        <v>1318</v>
      </c>
      <c r="K31" s="20" t="s">
        <v>27</v>
      </c>
      <c r="L31" s="21"/>
      <c r="M31" s="22" t="s">
        <v>109</v>
      </c>
      <c r="N31" s="23">
        <v>46275</v>
      </c>
    </row>
    <row r="32" spans="1:14" ht="15" thickBot="1" x14ac:dyDescent="0.35">
      <c r="A32" s="13">
        <v>28</v>
      </c>
      <c r="B32" s="14" t="s">
        <v>345</v>
      </c>
      <c r="C32" s="13" t="s">
        <v>346</v>
      </c>
      <c r="D32" s="13" t="s">
        <v>186</v>
      </c>
      <c r="E32" s="13" t="s">
        <v>206</v>
      </c>
      <c r="F32" s="16" t="s">
        <v>347</v>
      </c>
      <c r="G32" s="13" t="s">
        <v>348</v>
      </c>
      <c r="H32" s="13" t="s">
        <v>349</v>
      </c>
      <c r="I32" s="13" t="s">
        <v>67</v>
      </c>
      <c r="J32" s="19" t="s">
        <v>1318</v>
      </c>
      <c r="K32" s="20" t="s">
        <v>27</v>
      </c>
      <c r="L32" s="21"/>
      <c r="M32" s="22" t="s">
        <v>109</v>
      </c>
      <c r="N32" s="23">
        <v>46275</v>
      </c>
    </row>
    <row r="33" spans="1:14" ht="27" thickBot="1" x14ac:dyDescent="0.35">
      <c r="A33" s="13">
        <v>29</v>
      </c>
      <c r="B33" s="14" t="s">
        <v>350</v>
      </c>
      <c r="C33" s="13" t="s">
        <v>351</v>
      </c>
      <c r="D33" s="13" t="s">
        <v>186</v>
      </c>
      <c r="E33" s="13" t="s">
        <v>156</v>
      </c>
      <c r="F33" s="16" t="s">
        <v>352</v>
      </c>
      <c r="G33" s="13" t="s">
        <v>353</v>
      </c>
      <c r="H33" s="13" t="s">
        <v>354</v>
      </c>
      <c r="I33" s="16" t="s">
        <v>355</v>
      </c>
      <c r="J33" s="19" t="s">
        <v>1318</v>
      </c>
      <c r="K33" s="20" t="s">
        <v>27</v>
      </c>
      <c r="L33" s="21"/>
      <c r="M33" s="22" t="s">
        <v>109</v>
      </c>
      <c r="N33" s="23">
        <v>46275</v>
      </c>
    </row>
    <row r="34" spans="1:14" ht="40.200000000000003" thickBot="1" x14ac:dyDescent="0.35">
      <c r="A34" s="13">
        <v>30</v>
      </c>
      <c r="B34" s="14" t="s">
        <v>356</v>
      </c>
      <c r="C34" s="13" t="s">
        <v>357</v>
      </c>
      <c r="D34" s="13" t="s">
        <v>186</v>
      </c>
      <c r="E34" s="13" t="s">
        <v>206</v>
      </c>
      <c r="F34" s="13" t="s">
        <v>67</v>
      </c>
      <c r="G34" s="13" t="s">
        <v>358</v>
      </c>
      <c r="H34" s="13" t="s">
        <v>359</v>
      </c>
      <c r="I34" s="16" t="s">
        <v>360</v>
      </c>
      <c r="J34" s="19" t="s">
        <v>1318</v>
      </c>
      <c r="K34" s="20" t="s">
        <v>27</v>
      </c>
      <c r="L34" s="21"/>
      <c r="M34" s="22" t="s">
        <v>109</v>
      </c>
      <c r="N34" s="23">
        <v>46275</v>
      </c>
    </row>
    <row r="35" spans="1:14" ht="40.200000000000003" thickBot="1" x14ac:dyDescent="0.35">
      <c r="A35" s="13">
        <v>31</v>
      </c>
      <c r="B35" s="14" t="s">
        <v>361</v>
      </c>
      <c r="C35" s="13" t="s">
        <v>362</v>
      </c>
      <c r="D35" s="13" t="s">
        <v>186</v>
      </c>
      <c r="E35" s="13" t="s">
        <v>206</v>
      </c>
      <c r="F35" s="13" t="s">
        <v>67</v>
      </c>
      <c r="G35" s="13" t="s">
        <v>363</v>
      </c>
      <c r="H35" s="13" t="s">
        <v>364</v>
      </c>
      <c r="I35" s="16" t="s">
        <v>360</v>
      </c>
      <c r="J35" s="19" t="s">
        <v>1318</v>
      </c>
      <c r="K35" s="20" t="s">
        <v>27</v>
      </c>
      <c r="L35" s="21"/>
      <c r="M35" s="22" t="s">
        <v>109</v>
      </c>
      <c r="N35" s="23">
        <v>46275</v>
      </c>
    </row>
    <row r="36" spans="1:14" ht="66.599999999999994" thickBot="1" x14ac:dyDescent="0.35">
      <c r="A36" s="13">
        <v>32</v>
      </c>
      <c r="B36" s="14" t="s">
        <v>365</v>
      </c>
      <c r="C36" s="13" t="s">
        <v>366</v>
      </c>
      <c r="D36" s="13" t="s">
        <v>186</v>
      </c>
      <c r="E36" s="13" t="s">
        <v>156</v>
      </c>
      <c r="F36" s="16" t="s">
        <v>367</v>
      </c>
      <c r="G36" s="13" t="s">
        <v>368</v>
      </c>
      <c r="H36" s="13" t="s">
        <v>369</v>
      </c>
      <c r="I36" s="13" t="s">
        <v>67</v>
      </c>
      <c r="J36" s="24" t="s">
        <v>1318</v>
      </c>
      <c r="K36" s="25" t="s">
        <v>27</v>
      </c>
      <c r="L36" s="26"/>
      <c r="M36" s="27" t="s">
        <v>109</v>
      </c>
      <c r="N36" s="28">
        <v>46275</v>
      </c>
    </row>
    <row r="37" spans="1:14" ht="93" thickBot="1" x14ac:dyDescent="0.35">
      <c r="A37" s="13">
        <v>33</v>
      </c>
      <c r="B37" s="14" t="s">
        <v>370</v>
      </c>
      <c r="C37" s="13" t="s">
        <v>371</v>
      </c>
      <c r="D37" s="13" t="s">
        <v>372</v>
      </c>
      <c r="E37" s="13" t="s">
        <v>206</v>
      </c>
      <c r="F37" s="16" t="s">
        <v>373</v>
      </c>
      <c r="G37" s="13" t="s">
        <v>374</v>
      </c>
      <c r="H37" s="13" t="s">
        <v>375</v>
      </c>
      <c r="I37" s="16" t="s">
        <v>376</v>
      </c>
      <c r="J37" s="24" t="s">
        <v>1318</v>
      </c>
      <c r="K37" s="25" t="s">
        <v>27</v>
      </c>
      <c r="L37" s="26"/>
      <c r="M37" s="27" t="s">
        <v>109</v>
      </c>
      <c r="N37" s="28">
        <v>46275</v>
      </c>
    </row>
    <row r="38" spans="1:14" ht="27" thickBot="1" x14ac:dyDescent="0.35">
      <c r="A38" s="13">
        <v>34</v>
      </c>
      <c r="B38" s="14" t="s">
        <v>377</v>
      </c>
      <c r="C38" s="13" t="s">
        <v>378</v>
      </c>
      <c r="D38" s="13" t="s">
        <v>186</v>
      </c>
      <c r="E38" s="13" t="s">
        <v>206</v>
      </c>
      <c r="F38" s="16" t="s">
        <v>315</v>
      </c>
      <c r="G38" s="13" t="s">
        <v>379</v>
      </c>
      <c r="H38" s="13" t="s">
        <v>380</v>
      </c>
      <c r="I38" s="13" t="s">
        <v>67</v>
      </c>
      <c r="J38" s="24" t="s">
        <v>1318</v>
      </c>
      <c r="K38" s="25" t="s">
        <v>27</v>
      </c>
      <c r="L38" s="26"/>
      <c r="M38" s="27" t="s">
        <v>109</v>
      </c>
      <c r="N38" s="28">
        <v>46275</v>
      </c>
    </row>
  </sheetData>
  <autoFilter ref="A4:N3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3"/>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381</v>
      </c>
    </row>
    <row r="2" spans="1:14" x14ac:dyDescent="0.3">
      <c r="A2" s="5" t="s">
        <v>382</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52.8" x14ac:dyDescent="0.3">
      <c r="A5" s="13">
        <v>1</v>
      </c>
      <c r="B5" s="14" t="s">
        <v>383</v>
      </c>
      <c r="C5" s="13" t="s">
        <v>384</v>
      </c>
      <c r="D5" s="13" t="s">
        <v>186</v>
      </c>
      <c r="E5" s="13" t="s">
        <v>156</v>
      </c>
      <c r="F5" s="13" t="s">
        <v>320</v>
      </c>
      <c r="G5" s="13" t="s">
        <v>385</v>
      </c>
      <c r="H5" s="13" t="s">
        <v>386</v>
      </c>
      <c r="I5" s="16" t="s">
        <v>387</v>
      </c>
      <c r="J5" s="15"/>
      <c r="K5" s="15" t="s">
        <v>31</v>
      </c>
      <c r="L5" s="15"/>
      <c r="M5" s="15"/>
      <c r="N5" s="15"/>
    </row>
    <row r="6" spans="1:14" ht="26.4" x14ac:dyDescent="0.3">
      <c r="A6" s="13">
        <v>2</v>
      </c>
      <c r="B6" s="14" t="s">
        <v>388</v>
      </c>
      <c r="C6" s="13" t="s">
        <v>389</v>
      </c>
      <c r="D6" s="13" t="s">
        <v>186</v>
      </c>
      <c r="E6" s="13" t="s">
        <v>156</v>
      </c>
      <c r="F6" s="16" t="s">
        <v>390</v>
      </c>
      <c r="G6" s="13" t="s">
        <v>391</v>
      </c>
      <c r="H6" s="13" t="s">
        <v>392</v>
      </c>
      <c r="I6" s="16" t="s">
        <v>393</v>
      </c>
      <c r="J6" s="15"/>
      <c r="K6" s="15" t="s">
        <v>31</v>
      </c>
      <c r="L6" s="15"/>
      <c r="M6" s="15"/>
      <c r="N6" s="15"/>
    </row>
    <row r="7" spans="1:14" ht="39.6" x14ac:dyDescent="0.3">
      <c r="A7" s="13">
        <v>3</v>
      </c>
      <c r="B7" s="14" t="s">
        <v>394</v>
      </c>
      <c r="C7" s="13" t="s">
        <v>395</v>
      </c>
      <c r="D7" s="13" t="s">
        <v>186</v>
      </c>
      <c r="E7" s="13" t="s">
        <v>156</v>
      </c>
      <c r="F7" s="16" t="s">
        <v>396</v>
      </c>
      <c r="G7" s="13" t="s">
        <v>397</v>
      </c>
      <c r="H7" s="13" t="s">
        <v>398</v>
      </c>
      <c r="I7" s="16" t="s">
        <v>399</v>
      </c>
      <c r="J7" s="15"/>
      <c r="K7" s="15" t="s">
        <v>31</v>
      </c>
      <c r="L7" s="15"/>
      <c r="M7" s="15"/>
      <c r="N7" s="15"/>
    </row>
    <row r="8" spans="1:14" ht="26.4" x14ac:dyDescent="0.3">
      <c r="A8" s="13">
        <v>4</v>
      </c>
      <c r="B8" s="14" t="s">
        <v>400</v>
      </c>
      <c r="C8" s="13" t="s">
        <v>401</v>
      </c>
      <c r="D8" s="13" t="s">
        <v>186</v>
      </c>
      <c r="E8" s="13" t="s">
        <v>310</v>
      </c>
      <c r="F8" s="16" t="s">
        <v>402</v>
      </c>
      <c r="G8" s="13" t="s">
        <v>403</v>
      </c>
      <c r="H8" s="13" t="s">
        <v>404</v>
      </c>
      <c r="I8" s="16" t="s">
        <v>405</v>
      </c>
      <c r="J8" s="15"/>
      <c r="K8" s="15" t="s">
        <v>31</v>
      </c>
      <c r="L8" s="15"/>
      <c r="M8" s="15"/>
      <c r="N8" s="15"/>
    </row>
    <row r="9" spans="1:14" ht="39.6" x14ac:dyDescent="0.3">
      <c r="A9" s="13">
        <v>5</v>
      </c>
      <c r="B9" s="14" t="s">
        <v>406</v>
      </c>
      <c r="C9" s="13" t="s">
        <v>407</v>
      </c>
      <c r="D9" s="13" t="s">
        <v>186</v>
      </c>
      <c r="E9" s="13" t="s">
        <v>156</v>
      </c>
      <c r="F9" s="16" t="s">
        <v>408</v>
      </c>
      <c r="G9" s="13" t="s">
        <v>409</v>
      </c>
      <c r="H9" s="13" t="s">
        <v>410</v>
      </c>
      <c r="I9" s="16" t="s">
        <v>411</v>
      </c>
      <c r="J9" s="15"/>
      <c r="K9" s="15" t="s">
        <v>31</v>
      </c>
      <c r="L9" s="15"/>
      <c r="M9" s="15"/>
      <c r="N9" s="15"/>
    </row>
    <row r="10" spans="1:14" ht="39.6" x14ac:dyDescent="0.3">
      <c r="A10" s="13">
        <v>6</v>
      </c>
      <c r="B10" s="14" t="s">
        <v>412</v>
      </c>
      <c r="C10" s="13" t="s">
        <v>413</v>
      </c>
      <c r="D10" s="13" t="s">
        <v>186</v>
      </c>
      <c r="E10" s="13" t="s">
        <v>156</v>
      </c>
      <c r="F10" s="16" t="s">
        <v>414</v>
      </c>
      <c r="G10" s="13" t="s">
        <v>391</v>
      </c>
      <c r="H10" s="13" t="s">
        <v>415</v>
      </c>
      <c r="I10" s="16" t="s">
        <v>416</v>
      </c>
      <c r="J10" s="15"/>
      <c r="K10" s="15" t="s">
        <v>31</v>
      </c>
      <c r="L10" s="15"/>
      <c r="M10" s="15"/>
      <c r="N10" s="15"/>
    </row>
    <row r="11" spans="1:14" ht="26.4" x14ac:dyDescent="0.3">
      <c r="A11" s="13">
        <v>7</v>
      </c>
      <c r="B11" s="14" t="s">
        <v>417</v>
      </c>
      <c r="C11" s="13" t="s">
        <v>418</v>
      </c>
      <c r="D11" s="13" t="s">
        <v>186</v>
      </c>
      <c r="E11" s="13" t="s">
        <v>156</v>
      </c>
      <c r="F11" s="16" t="s">
        <v>419</v>
      </c>
      <c r="G11" s="13" t="s">
        <v>409</v>
      </c>
      <c r="H11" s="13" t="s">
        <v>420</v>
      </c>
      <c r="I11" s="16" t="s">
        <v>421</v>
      </c>
      <c r="J11" s="15"/>
      <c r="K11" s="15" t="s">
        <v>31</v>
      </c>
      <c r="L11" s="15"/>
      <c r="M11" s="15"/>
      <c r="N11" s="15"/>
    </row>
    <row r="12" spans="1:14" ht="26.4" x14ac:dyDescent="0.3">
      <c r="A12" s="13">
        <v>8</v>
      </c>
      <c r="B12" s="14" t="s">
        <v>422</v>
      </c>
      <c r="C12" s="13" t="s">
        <v>423</v>
      </c>
      <c r="D12" s="13" t="s">
        <v>186</v>
      </c>
      <c r="E12" s="13" t="s">
        <v>310</v>
      </c>
      <c r="F12" s="16" t="s">
        <v>424</v>
      </c>
      <c r="G12" s="13" t="s">
        <v>391</v>
      </c>
      <c r="H12" s="13" t="s">
        <v>425</v>
      </c>
      <c r="I12" s="16" t="s">
        <v>416</v>
      </c>
      <c r="J12" s="15"/>
      <c r="K12" s="15" t="s">
        <v>31</v>
      </c>
      <c r="L12" s="15"/>
      <c r="M12" s="15"/>
      <c r="N12" s="15"/>
    </row>
    <row r="13" spans="1:14" ht="26.4" x14ac:dyDescent="0.3">
      <c r="A13" s="13">
        <v>9</v>
      </c>
      <c r="B13" s="14" t="s">
        <v>426</v>
      </c>
      <c r="C13" s="13" t="s">
        <v>427</v>
      </c>
      <c r="D13" s="13" t="s">
        <v>186</v>
      </c>
      <c r="E13" s="13" t="s">
        <v>206</v>
      </c>
      <c r="F13" s="16" t="s">
        <v>428</v>
      </c>
      <c r="G13" s="13" t="s">
        <v>429</v>
      </c>
      <c r="H13" s="13" t="s">
        <v>430</v>
      </c>
      <c r="I13" s="16" t="s">
        <v>431</v>
      </c>
      <c r="J13" s="15"/>
      <c r="K13" s="15" t="s">
        <v>31</v>
      </c>
      <c r="L13" s="15"/>
      <c r="M13" s="15"/>
      <c r="N13" s="15"/>
    </row>
    <row r="14" spans="1:14" ht="26.4" x14ac:dyDescent="0.3">
      <c r="A14" s="13">
        <v>10</v>
      </c>
      <c r="B14" s="14" t="s">
        <v>432</v>
      </c>
      <c r="C14" s="13" t="s">
        <v>433</v>
      </c>
      <c r="D14" s="13" t="s">
        <v>186</v>
      </c>
      <c r="E14" s="13" t="s">
        <v>310</v>
      </c>
      <c r="F14" s="16" t="s">
        <v>434</v>
      </c>
      <c r="G14" s="13" t="s">
        <v>391</v>
      </c>
      <c r="H14" s="13" t="s">
        <v>430</v>
      </c>
      <c r="I14" s="16" t="s">
        <v>435</v>
      </c>
      <c r="J14" s="15"/>
      <c r="K14" s="15" t="s">
        <v>31</v>
      </c>
      <c r="L14" s="15"/>
      <c r="M14" s="15"/>
      <c r="N14" s="15"/>
    </row>
    <row r="15" spans="1:14" ht="26.4" x14ac:dyDescent="0.3">
      <c r="A15" s="13">
        <v>11</v>
      </c>
      <c r="B15" s="14" t="s">
        <v>436</v>
      </c>
      <c r="C15" s="13" t="s">
        <v>437</v>
      </c>
      <c r="D15" s="13" t="s">
        <v>186</v>
      </c>
      <c r="E15" s="13" t="s">
        <v>156</v>
      </c>
      <c r="F15" s="16" t="s">
        <v>438</v>
      </c>
      <c r="G15" s="13" t="s">
        <v>391</v>
      </c>
      <c r="H15" s="13" t="s">
        <v>439</v>
      </c>
      <c r="I15" s="16" t="s">
        <v>440</v>
      </c>
      <c r="J15" s="15"/>
      <c r="K15" s="15" t="s">
        <v>31</v>
      </c>
      <c r="L15" s="15"/>
      <c r="M15" s="15"/>
      <c r="N15" s="15"/>
    </row>
    <row r="16" spans="1:14" ht="39.6" x14ac:dyDescent="0.3">
      <c r="A16" s="13">
        <v>12</v>
      </c>
      <c r="B16" s="14" t="s">
        <v>441</v>
      </c>
      <c r="C16" s="13" t="s">
        <v>442</v>
      </c>
      <c r="D16" s="13" t="s">
        <v>186</v>
      </c>
      <c r="E16" s="13" t="s">
        <v>156</v>
      </c>
      <c r="F16" s="16" t="s">
        <v>443</v>
      </c>
      <c r="G16" s="13" t="s">
        <v>403</v>
      </c>
      <c r="H16" s="13" t="s">
        <v>444</v>
      </c>
      <c r="I16" s="16" t="s">
        <v>445</v>
      </c>
      <c r="J16" s="15"/>
      <c r="K16" s="15" t="s">
        <v>31</v>
      </c>
      <c r="L16" s="15"/>
      <c r="M16" s="15"/>
      <c r="N16" s="15"/>
    </row>
    <row r="17" spans="1:14" ht="39.6" x14ac:dyDescent="0.3">
      <c r="A17" s="13">
        <v>13</v>
      </c>
      <c r="B17" s="14" t="s">
        <v>446</v>
      </c>
      <c r="C17" s="13" t="s">
        <v>447</v>
      </c>
      <c r="D17" s="13" t="s">
        <v>186</v>
      </c>
      <c r="E17" s="13" t="s">
        <v>206</v>
      </c>
      <c r="F17" s="16" t="s">
        <v>448</v>
      </c>
      <c r="G17" s="13" t="s">
        <v>403</v>
      </c>
      <c r="H17" s="13" t="s">
        <v>449</v>
      </c>
      <c r="I17" s="16" t="s">
        <v>416</v>
      </c>
      <c r="J17" s="15"/>
      <c r="K17" s="15" t="s">
        <v>31</v>
      </c>
      <c r="L17" s="15"/>
      <c r="M17" s="15"/>
      <c r="N17" s="15"/>
    </row>
    <row r="18" spans="1:14" ht="26.4" x14ac:dyDescent="0.3">
      <c r="A18" s="13">
        <v>14</v>
      </c>
      <c r="B18" s="14" t="s">
        <v>450</v>
      </c>
      <c r="C18" s="13" t="s">
        <v>451</v>
      </c>
      <c r="D18" s="13" t="s">
        <v>186</v>
      </c>
      <c r="E18" s="13" t="s">
        <v>206</v>
      </c>
      <c r="F18" s="16" t="s">
        <v>452</v>
      </c>
      <c r="G18" s="13" t="s">
        <v>453</v>
      </c>
      <c r="H18" s="13" t="s">
        <v>454</v>
      </c>
      <c r="I18" s="16" t="s">
        <v>455</v>
      </c>
      <c r="J18" s="15"/>
      <c r="K18" s="15" t="s">
        <v>31</v>
      </c>
      <c r="L18" s="15"/>
      <c r="M18" s="15"/>
      <c r="N18" s="15"/>
    </row>
    <row r="19" spans="1:14" ht="39.6" x14ac:dyDescent="0.3">
      <c r="A19" s="13">
        <v>15</v>
      </c>
      <c r="B19" s="14" t="s">
        <v>456</v>
      </c>
      <c r="C19" s="13" t="s">
        <v>457</v>
      </c>
      <c r="D19" s="13" t="s">
        <v>186</v>
      </c>
      <c r="E19" s="13" t="s">
        <v>156</v>
      </c>
      <c r="F19" s="16" t="s">
        <v>458</v>
      </c>
      <c r="G19" s="13" t="s">
        <v>459</v>
      </c>
      <c r="H19" s="13" t="s">
        <v>460</v>
      </c>
      <c r="I19" s="16" t="s">
        <v>455</v>
      </c>
      <c r="J19" s="15"/>
      <c r="K19" s="15" t="s">
        <v>31</v>
      </c>
      <c r="L19" s="15"/>
      <c r="M19" s="15"/>
      <c r="N19" s="15"/>
    </row>
    <row r="20" spans="1:14" ht="26.4" x14ac:dyDescent="0.3">
      <c r="A20" s="13">
        <v>16</v>
      </c>
      <c r="B20" s="14" t="s">
        <v>461</v>
      </c>
      <c r="C20" s="13" t="s">
        <v>462</v>
      </c>
      <c r="D20" s="13" t="s">
        <v>336</v>
      </c>
      <c r="E20" s="13" t="s">
        <v>156</v>
      </c>
      <c r="F20" s="16" t="s">
        <v>463</v>
      </c>
      <c r="G20" s="13" t="s">
        <v>464</v>
      </c>
      <c r="H20" s="13" t="s">
        <v>465</v>
      </c>
      <c r="I20" s="16" t="s">
        <v>466</v>
      </c>
      <c r="J20" s="15"/>
      <c r="K20" s="15" t="s">
        <v>31</v>
      </c>
      <c r="L20" s="15"/>
      <c r="M20" s="15"/>
      <c r="N20" s="15"/>
    </row>
    <row r="21" spans="1:14" ht="52.8" x14ac:dyDescent="0.3">
      <c r="A21" s="13">
        <v>17</v>
      </c>
      <c r="B21" s="14" t="s">
        <v>467</v>
      </c>
      <c r="C21" s="13" t="s">
        <v>468</v>
      </c>
      <c r="D21" s="13" t="s">
        <v>186</v>
      </c>
      <c r="E21" s="13" t="s">
        <v>156</v>
      </c>
      <c r="F21" s="16" t="s">
        <v>469</v>
      </c>
      <c r="G21" s="13" t="s">
        <v>391</v>
      </c>
      <c r="H21" s="13" t="s">
        <v>470</v>
      </c>
      <c r="I21" s="16" t="s">
        <v>471</v>
      </c>
      <c r="J21" s="15"/>
      <c r="K21" s="15" t="s">
        <v>31</v>
      </c>
      <c r="L21" s="15"/>
      <c r="M21" s="15"/>
      <c r="N21" s="15"/>
    </row>
    <row r="22" spans="1:14" ht="39.6" x14ac:dyDescent="0.3">
      <c r="A22" s="13">
        <v>18</v>
      </c>
      <c r="B22" s="14" t="s">
        <v>472</v>
      </c>
      <c r="C22" s="13" t="s">
        <v>473</v>
      </c>
      <c r="D22" s="13" t="s">
        <v>474</v>
      </c>
      <c r="E22" s="13" t="s">
        <v>156</v>
      </c>
      <c r="F22" s="16" t="s">
        <v>475</v>
      </c>
      <c r="G22" s="13" t="s">
        <v>476</v>
      </c>
      <c r="H22" s="13" t="s">
        <v>477</v>
      </c>
      <c r="I22" s="16" t="s">
        <v>478</v>
      </c>
      <c r="J22" s="15"/>
      <c r="K22" s="15" t="s">
        <v>31</v>
      </c>
      <c r="L22" s="15"/>
      <c r="M22" s="15"/>
      <c r="N22" s="15"/>
    </row>
    <row r="23" spans="1:14" ht="66" x14ac:dyDescent="0.3">
      <c r="A23" s="13">
        <v>19</v>
      </c>
      <c r="B23" s="14" t="s">
        <v>479</v>
      </c>
      <c r="C23" s="13" t="s">
        <v>480</v>
      </c>
      <c r="D23" s="13" t="s">
        <v>186</v>
      </c>
      <c r="E23" s="13" t="s">
        <v>206</v>
      </c>
      <c r="F23" s="16" t="s">
        <v>481</v>
      </c>
      <c r="G23" s="13" t="s">
        <v>391</v>
      </c>
      <c r="H23" s="13" t="s">
        <v>430</v>
      </c>
      <c r="I23" s="16" t="s">
        <v>482</v>
      </c>
      <c r="J23" s="15"/>
      <c r="K23" s="15" t="s">
        <v>31</v>
      </c>
      <c r="L23" s="15"/>
      <c r="M23" s="15"/>
      <c r="N23" s="15"/>
    </row>
    <row r="24" spans="1:14" ht="39.6" x14ac:dyDescent="0.3">
      <c r="A24" s="13">
        <v>20</v>
      </c>
      <c r="B24" s="14" t="s">
        <v>483</v>
      </c>
      <c r="C24" s="13" t="s">
        <v>484</v>
      </c>
      <c r="D24" s="13" t="s">
        <v>186</v>
      </c>
      <c r="E24" s="13" t="s">
        <v>156</v>
      </c>
      <c r="F24" s="13" t="s">
        <v>320</v>
      </c>
      <c r="G24" s="13" t="s">
        <v>485</v>
      </c>
      <c r="H24" s="13" t="s">
        <v>486</v>
      </c>
      <c r="I24" s="16" t="s">
        <v>487</v>
      </c>
      <c r="J24" s="15"/>
      <c r="K24" s="15" t="s">
        <v>31</v>
      </c>
      <c r="L24" s="15"/>
      <c r="M24" s="15"/>
      <c r="N24" s="15"/>
    </row>
    <row r="25" spans="1:14" ht="66" x14ac:dyDescent="0.3">
      <c r="A25" s="13">
        <v>21</v>
      </c>
      <c r="B25" s="14" t="s">
        <v>488</v>
      </c>
      <c r="C25" s="13" t="s">
        <v>489</v>
      </c>
      <c r="D25" s="13" t="s">
        <v>186</v>
      </c>
      <c r="E25" s="13" t="s">
        <v>156</v>
      </c>
      <c r="F25" s="16" t="s">
        <v>490</v>
      </c>
      <c r="G25" s="13" t="s">
        <v>491</v>
      </c>
      <c r="H25" s="13" t="s">
        <v>492</v>
      </c>
      <c r="I25" s="16" t="s">
        <v>493</v>
      </c>
      <c r="J25" s="15"/>
      <c r="K25" s="15" t="s">
        <v>31</v>
      </c>
      <c r="L25" s="15"/>
      <c r="M25" s="15"/>
      <c r="N25" s="15"/>
    </row>
    <row r="26" spans="1:14" ht="26.4" x14ac:dyDescent="0.3">
      <c r="A26" s="13">
        <v>22</v>
      </c>
      <c r="B26" s="14" t="s">
        <v>494</v>
      </c>
      <c r="C26" s="13" t="s">
        <v>495</v>
      </c>
      <c r="D26" s="13" t="s">
        <v>186</v>
      </c>
      <c r="E26" s="13" t="s">
        <v>156</v>
      </c>
      <c r="F26" s="16" t="s">
        <v>496</v>
      </c>
      <c r="G26" s="13" t="s">
        <v>497</v>
      </c>
      <c r="H26" s="13" t="s">
        <v>498</v>
      </c>
      <c r="I26" s="16" t="s">
        <v>499</v>
      </c>
      <c r="J26" s="15"/>
      <c r="K26" s="15" t="s">
        <v>31</v>
      </c>
      <c r="L26" s="15"/>
      <c r="M26" s="15"/>
      <c r="N26" s="15"/>
    </row>
    <row r="27" spans="1:14" ht="26.4" x14ac:dyDescent="0.3">
      <c r="A27" s="13">
        <v>23</v>
      </c>
      <c r="B27" s="14" t="s">
        <v>500</v>
      </c>
      <c r="C27" s="13" t="s">
        <v>501</v>
      </c>
      <c r="D27" s="13" t="s">
        <v>186</v>
      </c>
      <c r="E27" s="13" t="s">
        <v>206</v>
      </c>
      <c r="F27" s="13" t="s">
        <v>320</v>
      </c>
      <c r="G27" s="13" t="s">
        <v>502</v>
      </c>
      <c r="H27" s="13" t="s">
        <v>503</v>
      </c>
      <c r="I27" s="16" t="s">
        <v>504</v>
      </c>
      <c r="J27" s="15"/>
      <c r="K27" s="15" t="s">
        <v>31</v>
      </c>
      <c r="L27" s="15"/>
      <c r="M27" s="15"/>
      <c r="N27" s="15"/>
    </row>
    <row r="28" spans="1:14" ht="39.6" x14ac:dyDescent="0.3">
      <c r="A28" s="13">
        <v>24</v>
      </c>
      <c r="B28" s="14" t="s">
        <v>505</v>
      </c>
      <c r="C28" s="13" t="s">
        <v>506</v>
      </c>
      <c r="D28" s="13" t="s">
        <v>186</v>
      </c>
      <c r="E28" s="13" t="s">
        <v>156</v>
      </c>
      <c r="F28" s="16" t="s">
        <v>507</v>
      </c>
      <c r="G28" s="13" t="s">
        <v>508</v>
      </c>
      <c r="H28" s="13" t="s">
        <v>509</v>
      </c>
      <c r="I28" s="16" t="s">
        <v>499</v>
      </c>
      <c r="J28" s="15"/>
      <c r="K28" s="15" t="s">
        <v>31</v>
      </c>
      <c r="L28" s="15"/>
      <c r="M28" s="15"/>
      <c r="N28" s="15"/>
    </row>
    <row r="29" spans="1:14" ht="26.4" x14ac:dyDescent="0.3">
      <c r="A29" s="13">
        <v>25</v>
      </c>
      <c r="B29" s="14" t="s">
        <v>510</v>
      </c>
      <c r="C29" s="13" t="s">
        <v>511</v>
      </c>
      <c r="D29" s="13" t="s">
        <v>186</v>
      </c>
      <c r="E29" s="13" t="s">
        <v>206</v>
      </c>
      <c r="F29" s="16" t="s">
        <v>512</v>
      </c>
      <c r="G29" s="13" t="s">
        <v>391</v>
      </c>
      <c r="H29" s="13" t="s">
        <v>513</v>
      </c>
      <c r="I29" s="16" t="s">
        <v>514</v>
      </c>
      <c r="J29" s="15"/>
      <c r="K29" s="15" t="s">
        <v>31</v>
      </c>
      <c r="L29" s="15"/>
      <c r="M29" s="15"/>
      <c r="N29" s="15"/>
    </row>
    <row r="30" spans="1:14" ht="26.4" x14ac:dyDescent="0.3">
      <c r="A30" s="13">
        <v>26</v>
      </c>
      <c r="B30" s="14" t="s">
        <v>515</v>
      </c>
      <c r="C30" s="13" t="s">
        <v>516</v>
      </c>
      <c r="D30" s="13" t="s">
        <v>186</v>
      </c>
      <c r="E30" s="13" t="s">
        <v>206</v>
      </c>
      <c r="F30" s="16" t="s">
        <v>517</v>
      </c>
      <c r="G30" s="13" t="s">
        <v>518</v>
      </c>
      <c r="H30" s="13" t="s">
        <v>519</v>
      </c>
      <c r="I30" s="16" t="s">
        <v>520</v>
      </c>
      <c r="J30" s="15"/>
      <c r="K30" s="15" t="s">
        <v>31</v>
      </c>
      <c r="L30" s="15"/>
      <c r="M30" s="15"/>
      <c r="N30" s="15"/>
    </row>
    <row r="31" spans="1:14" ht="26.4" x14ac:dyDescent="0.3">
      <c r="A31" s="13">
        <v>27</v>
      </c>
      <c r="B31" s="14" t="s">
        <v>521</v>
      </c>
      <c r="C31" s="13" t="s">
        <v>522</v>
      </c>
      <c r="D31" s="13" t="s">
        <v>186</v>
      </c>
      <c r="E31" s="13" t="s">
        <v>206</v>
      </c>
      <c r="F31" s="13" t="s">
        <v>320</v>
      </c>
      <c r="G31" s="13" t="s">
        <v>523</v>
      </c>
      <c r="H31" s="13" t="s">
        <v>524</v>
      </c>
      <c r="I31" s="16" t="s">
        <v>499</v>
      </c>
      <c r="J31" s="15"/>
      <c r="K31" s="15" t="s">
        <v>31</v>
      </c>
      <c r="L31" s="15"/>
      <c r="M31" s="15"/>
      <c r="N31" s="15"/>
    </row>
    <row r="32" spans="1:14" ht="26.4" x14ac:dyDescent="0.3">
      <c r="A32" s="13">
        <v>28</v>
      </c>
      <c r="B32" s="14" t="s">
        <v>525</v>
      </c>
      <c r="C32" s="13" t="s">
        <v>526</v>
      </c>
      <c r="D32" s="13" t="s">
        <v>186</v>
      </c>
      <c r="E32" s="13" t="s">
        <v>206</v>
      </c>
      <c r="F32" s="16" t="s">
        <v>527</v>
      </c>
      <c r="G32" s="13" t="s">
        <v>528</v>
      </c>
      <c r="H32" s="13" t="s">
        <v>529</v>
      </c>
      <c r="I32" s="16" t="s">
        <v>499</v>
      </c>
      <c r="J32" s="15"/>
      <c r="K32" s="15" t="s">
        <v>31</v>
      </c>
      <c r="L32" s="15"/>
      <c r="M32" s="15"/>
      <c r="N32" s="15"/>
    </row>
    <row r="33" spans="1:14" ht="79.2" x14ac:dyDescent="0.3">
      <c r="A33" s="13">
        <v>29</v>
      </c>
      <c r="B33" s="14" t="s">
        <v>530</v>
      </c>
      <c r="C33" s="13" t="s">
        <v>531</v>
      </c>
      <c r="D33" s="13" t="s">
        <v>186</v>
      </c>
      <c r="E33" s="13" t="s">
        <v>156</v>
      </c>
      <c r="F33" s="16" t="s">
        <v>532</v>
      </c>
      <c r="G33" s="13" t="s">
        <v>533</v>
      </c>
      <c r="H33" s="13" t="s">
        <v>534</v>
      </c>
      <c r="I33" s="16" t="s">
        <v>535</v>
      </c>
      <c r="J33" s="15"/>
      <c r="K33" s="15" t="s">
        <v>31</v>
      </c>
      <c r="L33" s="15"/>
      <c r="M33" s="15"/>
      <c r="N33" s="15"/>
    </row>
  </sheetData>
  <autoFilter ref="A4:N33" xr:uid="{00000000-0009-0000-0000-000005000000}"/>
  <conditionalFormatting sqref="K5:K33">
    <cfRule type="cellIs" dxfId="17" priority="1" operator="equal">
      <formula>"Pass"</formula>
    </cfRule>
    <cfRule type="cellIs" dxfId="16" priority="2" operator="equal">
      <formula>"Fail"</formula>
    </cfRule>
    <cfRule type="cellIs" dxfId="15" priority="3" operator="equal">
      <formula>"Blocked"</formula>
    </cfRule>
  </conditionalFormatting>
  <dataValidations count="1">
    <dataValidation type="list" sqref="K5:K33" xr:uid="{00000000-0002-0000-0500-000000000000}">
      <formula1>"Not Run,Pass,Fail,Blocked,N/A"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0"/>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536</v>
      </c>
    </row>
    <row r="2" spans="1:14" x14ac:dyDescent="0.3">
      <c r="A2" s="5" t="s">
        <v>537</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66" x14ac:dyDescent="0.3">
      <c r="A5" s="13">
        <v>1</v>
      </c>
      <c r="B5" s="14" t="s">
        <v>538</v>
      </c>
      <c r="C5" s="13" t="s">
        <v>219</v>
      </c>
      <c r="D5" s="13" t="s">
        <v>186</v>
      </c>
      <c r="E5" s="13" t="s">
        <v>156</v>
      </c>
      <c r="F5" s="16" t="s">
        <v>539</v>
      </c>
      <c r="G5" s="13" t="s">
        <v>208</v>
      </c>
      <c r="H5" s="13" t="s">
        <v>540</v>
      </c>
      <c r="I5" s="13" t="s">
        <v>67</v>
      </c>
      <c r="J5" s="15"/>
      <c r="K5" s="15" t="s">
        <v>31</v>
      </c>
      <c r="L5" s="15"/>
      <c r="M5" s="15"/>
      <c r="N5" s="15"/>
    </row>
    <row r="6" spans="1:14" ht="26.4" x14ac:dyDescent="0.3">
      <c r="A6" s="13">
        <v>2</v>
      </c>
      <c r="B6" s="14" t="s">
        <v>541</v>
      </c>
      <c r="C6" s="13" t="s">
        <v>542</v>
      </c>
      <c r="D6" s="13" t="s">
        <v>336</v>
      </c>
      <c r="E6" s="13" t="s">
        <v>156</v>
      </c>
      <c r="F6" s="16" t="s">
        <v>543</v>
      </c>
      <c r="G6" s="13" t="s">
        <v>544</v>
      </c>
      <c r="H6" s="13" t="s">
        <v>545</v>
      </c>
      <c r="I6" s="13" t="s">
        <v>67</v>
      </c>
      <c r="J6" s="15"/>
      <c r="K6" s="15" t="s">
        <v>31</v>
      </c>
      <c r="L6" s="15"/>
      <c r="M6" s="15"/>
      <c r="N6" s="15"/>
    </row>
    <row r="7" spans="1:14" ht="39.6" x14ac:dyDescent="0.3">
      <c r="A7" s="13">
        <v>3</v>
      </c>
      <c r="B7" s="14" t="s">
        <v>546</v>
      </c>
      <c r="C7" s="13" t="s">
        <v>547</v>
      </c>
      <c r="D7" s="13" t="s">
        <v>186</v>
      </c>
      <c r="E7" s="13" t="s">
        <v>206</v>
      </c>
      <c r="F7" s="13" t="s">
        <v>67</v>
      </c>
      <c r="G7" s="13" t="s">
        <v>548</v>
      </c>
      <c r="H7" s="13" t="s">
        <v>549</v>
      </c>
      <c r="I7" s="13" t="s">
        <v>67</v>
      </c>
      <c r="J7" s="15"/>
      <c r="K7" s="15" t="s">
        <v>31</v>
      </c>
      <c r="L7" s="15"/>
      <c r="M7" s="15"/>
      <c r="N7" s="15"/>
    </row>
    <row r="8" spans="1:14" ht="39.6" x14ac:dyDescent="0.3">
      <c r="A8" s="13">
        <v>4</v>
      </c>
      <c r="B8" s="14" t="s">
        <v>550</v>
      </c>
      <c r="C8" s="13" t="s">
        <v>551</v>
      </c>
      <c r="D8" s="13" t="s">
        <v>186</v>
      </c>
      <c r="E8" s="13" t="s">
        <v>156</v>
      </c>
      <c r="F8" s="16" t="s">
        <v>552</v>
      </c>
      <c r="G8" s="13" t="s">
        <v>553</v>
      </c>
      <c r="H8" s="13" t="s">
        <v>554</v>
      </c>
      <c r="I8" s="13" t="s">
        <v>67</v>
      </c>
      <c r="J8" s="15"/>
      <c r="K8" s="15" t="s">
        <v>31</v>
      </c>
      <c r="L8" s="15"/>
      <c r="M8" s="15"/>
      <c r="N8" s="15"/>
    </row>
    <row r="9" spans="1:14" ht="39.6" x14ac:dyDescent="0.3">
      <c r="A9" s="13">
        <v>5</v>
      </c>
      <c r="B9" s="14" t="s">
        <v>555</v>
      </c>
      <c r="C9" s="13" t="s">
        <v>556</v>
      </c>
      <c r="D9" s="13" t="s">
        <v>186</v>
      </c>
      <c r="E9" s="13" t="s">
        <v>156</v>
      </c>
      <c r="F9" s="16" t="s">
        <v>496</v>
      </c>
      <c r="G9" s="13" t="s">
        <v>557</v>
      </c>
      <c r="H9" s="13" t="s">
        <v>558</v>
      </c>
      <c r="I9" s="16" t="s">
        <v>360</v>
      </c>
      <c r="J9" s="15"/>
      <c r="K9" s="15" t="s">
        <v>31</v>
      </c>
      <c r="L9" s="15"/>
      <c r="M9" s="15"/>
      <c r="N9" s="15"/>
    </row>
    <row r="10" spans="1:14" ht="39.6" x14ac:dyDescent="0.3">
      <c r="A10" s="13">
        <v>6</v>
      </c>
      <c r="B10" s="14" t="s">
        <v>559</v>
      </c>
      <c r="C10" s="13" t="s">
        <v>560</v>
      </c>
      <c r="D10" s="13" t="s">
        <v>336</v>
      </c>
      <c r="E10" s="13" t="s">
        <v>156</v>
      </c>
      <c r="F10" s="16" t="s">
        <v>561</v>
      </c>
      <c r="G10" s="13" t="s">
        <v>562</v>
      </c>
      <c r="H10" s="13" t="s">
        <v>563</v>
      </c>
      <c r="I10" s="16" t="s">
        <v>564</v>
      </c>
      <c r="J10" s="15"/>
      <c r="K10" s="15" t="s">
        <v>31</v>
      </c>
      <c r="L10" s="15"/>
      <c r="M10" s="15"/>
      <c r="N10" s="15"/>
    </row>
    <row r="11" spans="1:14" ht="92.4" x14ac:dyDescent="0.3">
      <c r="A11" s="13">
        <v>7</v>
      </c>
      <c r="B11" s="14" t="s">
        <v>565</v>
      </c>
      <c r="C11" s="13" t="s">
        <v>566</v>
      </c>
      <c r="D11" s="13" t="s">
        <v>186</v>
      </c>
      <c r="E11" s="13" t="s">
        <v>156</v>
      </c>
      <c r="F11" s="16" t="s">
        <v>567</v>
      </c>
      <c r="G11" s="13" t="s">
        <v>568</v>
      </c>
      <c r="H11" s="13" t="s">
        <v>569</v>
      </c>
      <c r="I11" s="16" t="s">
        <v>570</v>
      </c>
      <c r="J11" s="15"/>
      <c r="K11" s="15" t="s">
        <v>31</v>
      </c>
      <c r="L11" s="15"/>
      <c r="M11" s="15"/>
      <c r="N11" s="15"/>
    </row>
    <row r="12" spans="1:14" ht="39.6" x14ac:dyDescent="0.3">
      <c r="A12" s="13">
        <v>8</v>
      </c>
      <c r="B12" s="14" t="s">
        <v>571</v>
      </c>
      <c r="C12" s="13" t="s">
        <v>572</v>
      </c>
      <c r="D12" s="13" t="s">
        <v>336</v>
      </c>
      <c r="E12" s="13" t="s">
        <v>156</v>
      </c>
      <c r="F12" s="16" t="s">
        <v>573</v>
      </c>
      <c r="G12" s="13" t="s">
        <v>574</v>
      </c>
      <c r="H12" s="13" t="s">
        <v>575</v>
      </c>
      <c r="I12" s="13" t="s">
        <v>67</v>
      </c>
      <c r="J12" s="15"/>
      <c r="K12" s="15" t="s">
        <v>31</v>
      </c>
      <c r="L12" s="15"/>
      <c r="M12" s="15"/>
      <c r="N12" s="15"/>
    </row>
    <row r="13" spans="1:14" ht="39.6" x14ac:dyDescent="0.3">
      <c r="A13" s="13">
        <v>9</v>
      </c>
      <c r="B13" s="14" t="s">
        <v>576</v>
      </c>
      <c r="C13" s="13" t="s">
        <v>577</v>
      </c>
      <c r="D13" s="13" t="s">
        <v>186</v>
      </c>
      <c r="E13" s="13" t="s">
        <v>206</v>
      </c>
      <c r="F13" s="16" t="s">
        <v>578</v>
      </c>
      <c r="G13" s="13" t="s">
        <v>579</v>
      </c>
      <c r="H13" s="13" t="s">
        <v>580</v>
      </c>
      <c r="I13" s="13" t="s">
        <v>67</v>
      </c>
      <c r="J13" s="15"/>
      <c r="K13" s="15" t="s">
        <v>31</v>
      </c>
      <c r="L13" s="15"/>
      <c r="M13" s="15"/>
      <c r="N13" s="15"/>
    </row>
    <row r="14" spans="1:14" x14ac:dyDescent="0.3">
      <c r="A14" s="13">
        <v>10</v>
      </c>
      <c r="B14" s="14" t="s">
        <v>581</v>
      </c>
      <c r="C14" s="13" t="s">
        <v>582</v>
      </c>
      <c r="D14" s="13" t="s">
        <v>186</v>
      </c>
      <c r="E14" s="13" t="s">
        <v>156</v>
      </c>
      <c r="F14" s="16" t="s">
        <v>583</v>
      </c>
      <c r="G14" s="13" t="s">
        <v>584</v>
      </c>
      <c r="H14" s="13" t="s">
        <v>585</v>
      </c>
      <c r="I14" s="13" t="s">
        <v>67</v>
      </c>
      <c r="J14" s="15"/>
      <c r="K14" s="15" t="s">
        <v>31</v>
      </c>
      <c r="L14" s="15"/>
      <c r="M14" s="15"/>
      <c r="N14" s="15"/>
    </row>
    <row r="15" spans="1:14" ht="66" x14ac:dyDescent="0.3">
      <c r="A15" s="13">
        <v>11</v>
      </c>
      <c r="B15" s="14" t="s">
        <v>586</v>
      </c>
      <c r="C15" s="13" t="s">
        <v>587</v>
      </c>
      <c r="D15" s="13" t="s">
        <v>186</v>
      </c>
      <c r="E15" s="13" t="s">
        <v>156</v>
      </c>
      <c r="F15" s="16" t="s">
        <v>588</v>
      </c>
      <c r="G15" s="13" t="s">
        <v>589</v>
      </c>
      <c r="H15" s="13" t="s">
        <v>590</v>
      </c>
      <c r="I15" s="13" t="s">
        <v>67</v>
      </c>
      <c r="J15" s="15"/>
      <c r="K15" s="15" t="s">
        <v>31</v>
      </c>
      <c r="L15" s="15"/>
      <c r="M15" s="15"/>
      <c r="N15" s="15"/>
    </row>
    <row r="16" spans="1:14" ht="26.4" x14ac:dyDescent="0.3">
      <c r="A16" s="13">
        <v>12</v>
      </c>
      <c r="B16" s="14" t="s">
        <v>591</v>
      </c>
      <c r="C16" s="13" t="s">
        <v>592</v>
      </c>
      <c r="D16" s="13" t="s">
        <v>186</v>
      </c>
      <c r="E16" s="13" t="s">
        <v>206</v>
      </c>
      <c r="F16" s="16" t="s">
        <v>593</v>
      </c>
      <c r="G16" s="13" t="s">
        <v>594</v>
      </c>
      <c r="H16" s="13" t="s">
        <v>595</v>
      </c>
      <c r="I16" s="16" t="s">
        <v>596</v>
      </c>
      <c r="J16" s="15"/>
      <c r="K16" s="15" t="s">
        <v>31</v>
      </c>
      <c r="L16" s="15"/>
      <c r="M16" s="15"/>
      <c r="N16" s="15"/>
    </row>
    <row r="17" spans="1:14" ht="26.4" x14ac:dyDescent="0.3">
      <c r="A17" s="13">
        <v>13</v>
      </c>
      <c r="B17" s="14" t="s">
        <v>597</v>
      </c>
      <c r="C17" s="13" t="s">
        <v>598</v>
      </c>
      <c r="D17" s="13" t="s">
        <v>186</v>
      </c>
      <c r="E17" s="13" t="s">
        <v>310</v>
      </c>
      <c r="F17" s="16" t="s">
        <v>599</v>
      </c>
      <c r="G17" s="13" t="s">
        <v>600</v>
      </c>
      <c r="H17" s="13" t="s">
        <v>601</v>
      </c>
      <c r="I17" s="13" t="s">
        <v>67</v>
      </c>
      <c r="J17" s="15"/>
      <c r="K17" s="15" t="s">
        <v>31</v>
      </c>
      <c r="L17" s="15"/>
      <c r="M17" s="15"/>
      <c r="N17" s="15"/>
    </row>
    <row r="18" spans="1:14" x14ac:dyDescent="0.3">
      <c r="A18" s="13">
        <v>14</v>
      </c>
      <c r="B18" s="14" t="s">
        <v>602</v>
      </c>
      <c r="C18" s="13" t="s">
        <v>603</v>
      </c>
      <c r="D18" s="13" t="s">
        <v>186</v>
      </c>
      <c r="E18" s="13" t="s">
        <v>206</v>
      </c>
      <c r="F18" s="16" t="s">
        <v>604</v>
      </c>
      <c r="G18" s="13" t="s">
        <v>562</v>
      </c>
      <c r="H18" s="13" t="s">
        <v>605</v>
      </c>
      <c r="I18" s="13" t="s">
        <v>67</v>
      </c>
      <c r="J18" s="15"/>
      <c r="K18" s="15" t="s">
        <v>31</v>
      </c>
      <c r="L18" s="15"/>
      <c r="M18" s="15"/>
      <c r="N18" s="15"/>
    </row>
    <row r="19" spans="1:14" ht="26.4" x14ac:dyDescent="0.3">
      <c r="A19" s="13">
        <v>15</v>
      </c>
      <c r="B19" s="14" t="s">
        <v>606</v>
      </c>
      <c r="C19" s="13" t="s">
        <v>607</v>
      </c>
      <c r="D19" s="13" t="s">
        <v>186</v>
      </c>
      <c r="E19" s="13" t="s">
        <v>310</v>
      </c>
      <c r="F19" s="13" t="s">
        <v>67</v>
      </c>
      <c r="G19" s="13" t="s">
        <v>608</v>
      </c>
      <c r="H19" s="13" t="s">
        <v>609</v>
      </c>
      <c r="I19" s="16" t="s">
        <v>610</v>
      </c>
      <c r="J19" s="15"/>
      <c r="K19" s="15" t="s">
        <v>31</v>
      </c>
      <c r="L19" s="15"/>
      <c r="M19" s="15"/>
      <c r="N19" s="15"/>
    </row>
    <row r="20" spans="1:14" x14ac:dyDescent="0.3">
      <c r="A20" s="13">
        <v>16</v>
      </c>
      <c r="B20" s="14" t="s">
        <v>611</v>
      </c>
      <c r="C20" s="13" t="s">
        <v>612</v>
      </c>
      <c r="D20" s="13" t="s">
        <v>613</v>
      </c>
      <c r="E20" s="13" t="s">
        <v>310</v>
      </c>
      <c r="F20" s="16" t="s">
        <v>614</v>
      </c>
      <c r="G20" s="13" t="s">
        <v>615</v>
      </c>
      <c r="H20" s="13" t="s">
        <v>616</v>
      </c>
      <c r="I20" s="16" t="s">
        <v>617</v>
      </c>
      <c r="J20" s="15"/>
      <c r="K20" s="15" t="s">
        <v>31</v>
      </c>
      <c r="L20" s="15"/>
      <c r="M20" s="15"/>
      <c r="N20" s="15"/>
    </row>
  </sheetData>
  <autoFilter ref="A4:N20" xr:uid="{00000000-0009-0000-0000-000006000000}"/>
  <conditionalFormatting sqref="K5:K20">
    <cfRule type="cellIs" dxfId="14" priority="1" operator="equal">
      <formula>"Pass"</formula>
    </cfRule>
    <cfRule type="cellIs" dxfId="13" priority="2" operator="equal">
      <formula>"Fail"</formula>
    </cfRule>
    <cfRule type="cellIs" dxfId="12" priority="3" operator="equal">
      <formula>"Blocked"</formula>
    </cfRule>
  </conditionalFormatting>
  <dataValidations count="1">
    <dataValidation type="list" sqref="K5:K20" xr:uid="{00000000-0002-0000-0600-000000000000}">
      <formula1>"Not Run,Pass,Fail,Blocked,N/A"</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8"/>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618</v>
      </c>
    </row>
    <row r="2" spans="1:14" x14ac:dyDescent="0.3">
      <c r="A2" s="5" t="s">
        <v>619</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26.4" x14ac:dyDescent="0.3">
      <c r="A5" s="13">
        <v>1</v>
      </c>
      <c r="B5" s="14" t="s">
        <v>620</v>
      </c>
      <c r="C5" s="13" t="s">
        <v>621</v>
      </c>
      <c r="D5" s="13" t="s">
        <v>212</v>
      </c>
      <c r="E5" s="13" t="s">
        <v>156</v>
      </c>
      <c r="F5" s="16" t="s">
        <v>622</v>
      </c>
      <c r="G5" s="13" t="s">
        <v>623</v>
      </c>
      <c r="H5" s="13" t="s">
        <v>624</v>
      </c>
      <c r="I5" s="16" t="s">
        <v>625</v>
      </c>
      <c r="J5" s="15"/>
      <c r="K5" s="15" t="s">
        <v>31</v>
      </c>
      <c r="L5" s="15"/>
      <c r="M5" s="15"/>
      <c r="N5" s="15"/>
    </row>
    <row r="6" spans="1:14" ht="52.8" x14ac:dyDescent="0.3">
      <c r="A6" s="13">
        <v>2</v>
      </c>
      <c r="B6" s="14" t="s">
        <v>626</v>
      </c>
      <c r="C6" s="13" t="s">
        <v>627</v>
      </c>
      <c r="D6" s="13" t="s">
        <v>196</v>
      </c>
      <c r="E6" s="13" t="s">
        <v>156</v>
      </c>
      <c r="F6" s="16" t="s">
        <v>628</v>
      </c>
      <c r="G6" s="13" t="s">
        <v>629</v>
      </c>
      <c r="H6" s="13" t="s">
        <v>630</v>
      </c>
      <c r="I6" s="13" t="s">
        <v>67</v>
      </c>
      <c r="J6" s="15"/>
      <c r="K6" s="15" t="s">
        <v>31</v>
      </c>
      <c r="L6" s="15"/>
      <c r="M6" s="15"/>
      <c r="N6" s="15"/>
    </row>
    <row r="7" spans="1:14" x14ac:dyDescent="0.3">
      <c r="A7" s="13">
        <v>3</v>
      </c>
      <c r="B7" s="14" t="s">
        <v>631</v>
      </c>
      <c r="C7" s="13" t="s">
        <v>632</v>
      </c>
      <c r="D7" s="13" t="s">
        <v>372</v>
      </c>
      <c r="E7" s="13" t="s">
        <v>156</v>
      </c>
      <c r="F7" s="16" t="s">
        <v>628</v>
      </c>
      <c r="G7" s="13" t="s">
        <v>633</v>
      </c>
      <c r="H7" s="13" t="s">
        <v>634</v>
      </c>
      <c r="I7" s="13" t="s">
        <v>67</v>
      </c>
      <c r="J7" s="15"/>
      <c r="K7" s="15" t="s">
        <v>31</v>
      </c>
      <c r="L7" s="15"/>
      <c r="M7" s="15"/>
      <c r="N7" s="15"/>
    </row>
    <row r="8" spans="1:14" ht="52.8" x14ac:dyDescent="0.3">
      <c r="A8" s="13">
        <v>4</v>
      </c>
      <c r="B8" s="14" t="s">
        <v>635</v>
      </c>
      <c r="C8" s="13" t="s">
        <v>636</v>
      </c>
      <c r="D8" s="13" t="s">
        <v>372</v>
      </c>
      <c r="E8" s="13" t="s">
        <v>206</v>
      </c>
      <c r="F8" s="16" t="s">
        <v>637</v>
      </c>
      <c r="G8" s="13" t="s">
        <v>638</v>
      </c>
      <c r="H8" s="13" t="s">
        <v>639</v>
      </c>
      <c r="I8" s="16" t="s">
        <v>640</v>
      </c>
      <c r="J8" s="15"/>
      <c r="K8" s="15" t="s">
        <v>31</v>
      </c>
      <c r="L8" s="15"/>
      <c r="M8" s="15"/>
      <c r="N8" s="15"/>
    </row>
    <row r="9" spans="1:14" x14ac:dyDescent="0.3">
      <c r="A9" s="13">
        <v>5</v>
      </c>
      <c r="B9" s="14" t="s">
        <v>641</v>
      </c>
      <c r="C9" s="13" t="s">
        <v>642</v>
      </c>
      <c r="D9" s="13" t="s">
        <v>643</v>
      </c>
      <c r="E9" s="13" t="s">
        <v>310</v>
      </c>
      <c r="F9" s="13" t="s">
        <v>67</v>
      </c>
      <c r="G9" s="13" t="s">
        <v>644</v>
      </c>
      <c r="H9" s="13" t="s">
        <v>645</v>
      </c>
      <c r="I9" s="16" t="s">
        <v>499</v>
      </c>
      <c r="J9" s="15"/>
      <c r="K9" s="15" t="s">
        <v>31</v>
      </c>
      <c r="L9" s="15"/>
      <c r="M9" s="15"/>
      <c r="N9" s="15"/>
    </row>
    <row r="10" spans="1:14" ht="132" x14ac:dyDescent="0.3">
      <c r="A10" s="13">
        <v>6</v>
      </c>
      <c r="B10" s="14" t="s">
        <v>646</v>
      </c>
      <c r="C10" s="13" t="s">
        <v>647</v>
      </c>
      <c r="D10" s="13" t="s">
        <v>372</v>
      </c>
      <c r="E10" s="13" t="s">
        <v>156</v>
      </c>
      <c r="F10" s="16" t="s">
        <v>648</v>
      </c>
      <c r="G10" s="13" t="s">
        <v>649</v>
      </c>
      <c r="H10" s="13" t="s">
        <v>650</v>
      </c>
      <c r="I10" s="16" t="s">
        <v>651</v>
      </c>
      <c r="J10" s="15"/>
      <c r="K10" s="15" t="s">
        <v>31</v>
      </c>
      <c r="L10" s="15"/>
      <c r="M10" s="15"/>
      <c r="N10" s="15"/>
    </row>
    <row r="11" spans="1:14" ht="26.4" x14ac:dyDescent="0.3">
      <c r="A11" s="13">
        <v>7</v>
      </c>
      <c r="B11" s="14" t="s">
        <v>652</v>
      </c>
      <c r="C11" s="13" t="s">
        <v>653</v>
      </c>
      <c r="D11" s="13" t="s">
        <v>372</v>
      </c>
      <c r="E11" s="13" t="s">
        <v>156</v>
      </c>
      <c r="F11" s="16" t="s">
        <v>654</v>
      </c>
      <c r="G11" s="13" t="s">
        <v>655</v>
      </c>
      <c r="H11" s="13" t="s">
        <v>656</v>
      </c>
      <c r="I11" s="13" t="s">
        <v>67</v>
      </c>
      <c r="J11" s="15"/>
      <c r="K11" s="15" t="s">
        <v>31</v>
      </c>
      <c r="L11" s="15"/>
      <c r="M11" s="15"/>
      <c r="N11" s="15"/>
    </row>
    <row r="12" spans="1:14" ht="66" x14ac:dyDescent="0.3">
      <c r="A12" s="13">
        <v>8</v>
      </c>
      <c r="B12" s="14" t="s">
        <v>657</v>
      </c>
      <c r="C12" s="13" t="s">
        <v>658</v>
      </c>
      <c r="D12" s="13" t="s">
        <v>372</v>
      </c>
      <c r="E12" s="13" t="s">
        <v>156</v>
      </c>
      <c r="F12" s="16" t="s">
        <v>659</v>
      </c>
      <c r="G12" s="13" t="s">
        <v>660</v>
      </c>
      <c r="H12" s="13" t="s">
        <v>661</v>
      </c>
      <c r="I12" s="13" t="s">
        <v>67</v>
      </c>
      <c r="J12" s="15"/>
      <c r="K12" s="15" t="s">
        <v>31</v>
      </c>
      <c r="L12" s="15"/>
      <c r="M12" s="15"/>
      <c r="N12" s="15"/>
    </row>
    <row r="13" spans="1:14" ht="26.4" x14ac:dyDescent="0.3">
      <c r="A13" s="13">
        <v>9</v>
      </c>
      <c r="B13" s="14" t="s">
        <v>662</v>
      </c>
      <c r="C13" s="13" t="s">
        <v>663</v>
      </c>
      <c r="D13" s="13" t="s">
        <v>372</v>
      </c>
      <c r="E13" s="13" t="s">
        <v>156</v>
      </c>
      <c r="F13" s="16" t="s">
        <v>664</v>
      </c>
      <c r="G13" s="13" t="s">
        <v>665</v>
      </c>
      <c r="H13" s="13" t="s">
        <v>666</v>
      </c>
      <c r="I13" s="13" t="s">
        <v>67</v>
      </c>
      <c r="J13" s="15"/>
      <c r="K13" s="15" t="s">
        <v>31</v>
      </c>
      <c r="L13" s="15"/>
      <c r="M13" s="15"/>
      <c r="N13" s="15"/>
    </row>
    <row r="14" spans="1:14" ht="26.4" x14ac:dyDescent="0.3">
      <c r="A14" s="13">
        <v>10</v>
      </c>
      <c r="B14" s="14" t="s">
        <v>667</v>
      </c>
      <c r="C14" s="13" t="s">
        <v>668</v>
      </c>
      <c r="D14" s="13" t="s">
        <v>372</v>
      </c>
      <c r="E14" s="13" t="s">
        <v>156</v>
      </c>
      <c r="F14" s="16" t="s">
        <v>669</v>
      </c>
      <c r="G14" s="13" t="s">
        <v>670</v>
      </c>
      <c r="H14" s="13" t="s">
        <v>671</v>
      </c>
      <c r="I14" s="13" t="s">
        <v>67</v>
      </c>
      <c r="J14" s="15"/>
      <c r="K14" s="15" t="s">
        <v>31</v>
      </c>
      <c r="L14" s="15"/>
      <c r="M14" s="15"/>
      <c r="N14" s="15"/>
    </row>
    <row r="15" spans="1:14" ht="79.2" x14ac:dyDescent="0.3">
      <c r="A15" s="13">
        <v>11</v>
      </c>
      <c r="B15" s="14" t="s">
        <v>672</v>
      </c>
      <c r="C15" s="13" t="s">
        <v>673</v>
      </c>
      <c r="D15" s="13" t="s">
        <v>372</v>
      </c>
      <c r="E15" s="13" t="s">
        <v>156</v>
      </c>
      <c r="F15" s="16" t="s">
        <v>674</v>
      </c>
      <c r="G15" s="13" t="s">
        <v>675</v>
      </c>
      <c r="H15" s="13" t="s">
        <v>676</v>
      </c>
      <c r="I15" s="13" t="s">
        <v>67</v>
      </c>
      <c r="J15" s="15"/>
      <c r="K15" s="15" t="s">
        <v>31</v>
      </c>
      <c r="L15" s="15"/>
      <c r="M15" s="15"/>
      <c r="N15" s="15"/>
    </row>
    <row r="16" spans="1:14" ht="39.6" x14ac:dyDescent="0.3">
      <c r="A16" s="13">
        <v>12</v>
      </c>
      <c r="B16" s="14" t="s">
        <v>677</v>
      </c>
      <c r="C16" s="13" t="s">
        <v>678</v>
      </c>
      <c r="D16" s="13" t="s">
        <v>186</v>
      </c>
      <c r="E16" s="13" t="s">
        <v>156</v>
      </c>
      <c r="F16" s="16" t="s">
        <v>679</v>
      </c>
      <c r="G16" s="13" t="s">
        <v>409</v>
      </c>
      <c r="H16" s="13" t="s">
        <v>680</v>
      </c>
      <c r="I16" s="16" t="s">
        <v>681</v>
      </c>
      <c r="J16" s="15"/>
      <c r="K16" s="15" t="s">
        <v>31</v>
      </c>
      <c r="L16" s="15"/>
      <c r="M16" s="15"/>
      <c r="N16" s="15"/>
    </row>
    <row r="17" spans="1:14" ht="66" x14ac:dyDescent="0.3">
      <c r="A17" s="13">
        <v>13</v>
      </c>
      <c r="B17" s="14" t="s">
        <v>682</v>
      </c>
      <c r="C17" s="13" t="s">
        <v>683</v>
      </c>
      <c r="D17" s="13" t="s">
        <v>196</v>
      </c>
      <c r="E17" s="13" t="s">
        <v>156</v>
      </c>
      <c r="F17" s="16" t="s">
        <v>684</v>
      </c>
      <c r="G17" s="13" t="s">
        <v>685</v>
      </c>
      <c r="H17" s="13" t="s">
        <v>686</v>
      </c>
      <c r="I17" s="16" t="s">
        <v>687</v>
      </c>
      <c r="J17" s="15"/>
      <c r="K17" s="15" t="s">
        <v>31</v>
      </c>
      <c r="L17" s="15"/>
      <c r="M17" s="15"/>
      <c r="N17" s="15"/>
    </row>
    <row r="18" spans="1:14" ht="39.6" x14ac:dyDescent="0.3">
      <c r="A18" s="13">
        <v>14</v>
      </c>
      <c r="B18" s="14" t="s">
        <v>688</v>
      </c>
      <c r="C18" s="13" t="s">
        <v>689</v>
      </c>
      <c r="D18" s="13" t="s">
        <v>196</v>
      </c>
      <c r="E18" s="13" t="s">
        <v>156</v>
      </c>
      <c r="F18" s="16" t="s">
        <v>648</v>
      </c>
      <c r="G18" s="13" t="s">
        <v>690</v>
      </c>
      <c r="H18" s="13" t="s">
        <v>691</v>
      </c>
      <c r="I18" s="16" t="s">
        <v>692</v>
      </c>
      <c r="J18" s="15"/>
      <c r="K18" s="15" t="s">
        <v>31</v>
      </c>
      <c r="L18" s="15"/>
      <c r="M18" s="15"/>
      <c r="N18" s="15"/>
    </row>
    <row r="19" spans="1:14" ht="26.4" x14ac:dyDescent="0.3">
      <c r="A19" s="13">
        <v>15</v>
      </c>
      <c r="B19" s="14" t="s">
        <v>693</v>
      </c>
      <c r="C19" s="13" t="s">
        <v>694</v>
      </c>
      <c r="D19" s="13" t="s">
        <v>643</v>
      </c>
      <c r="E19" s="13" t="s">
        <v>206</v>
      </c>
      <c r="F19" s="16" t="s">
        <v>648</v>
      </c>
      <c r="G19" s="13" t="s">
        <v>695</v>
      </c>
      <c r="H19" s="13" t="s">
        <v>696</v>
      </c>
      <c r="I19" s="16" t="s">
        <v>697</v>
      </c>
      <c r="J19" s="15"/>
      <c r="K19" s="15" t="s">
        <v>31</v>
      </c>
      <c r="L19" s="15"/>
      <c r="M19" s="15"/>
      <c r="N19" s="15"/>
    </row>
    <row r="20" spans="1:14" ht="66" x14ac:dyDescent="0.3">
      <c r="A20" s="13">
        <v>16</v>
      </c>
      <c r="B20" s="14" t="s">
        <v>698</v>
      </c>
      <c r="C20" s="13" t="s">
        <v>699</v>
      </c>
      <c r="D20" s="13" t="s">
        <v>700</v>
      </c>
      <c r="E20" s="13" t="s">
        <v>206</v>
      </c>
      <c r="F20" s="16" t="s">
        <v>701</v>
      </c>
      <c r="G20" s="13" t="s">
        <v>702</v>
      </c>
      <c r="H20" s="13" t="s">
        <v>703</v>
      </c>
      <c r="I20" s="16" t="s">
        <v>704</v>
      </c>
      <c r="J20" s="15"/>
      <c r="K20" s="15" t="s">
        <v>31</v>
      </c>
      <c r="L20" s="15"/>
      <c r="M20" s="15"/>
      <c r="N20" s="15"/>
    </row>
    <row r="21" spans="1:14" ht="39.6" x14ac:dyDescent="0.3">
      <c r="A21" s="13">
        <v>17</v>
      </c>
      <c r="B21" s="14" t="s">
        <v>705</v>
      </c>
      <c r="C21" s="13" t="s">
        <v>706</v>
      </c>
      <c r="D21" s="13" t="s">
        <v>372</v>
      </c>
      <c r="E21" s="13" t="s">
        <v>156</v>
      </c>
      <c r="F21" s="16" t="s">
        <v>648</v>
      </c>
      <c r="G21" s="13" t="s">
        <v>707</v>
      </c>
      <c r="H21" s="13" t="s">
        <v>708</v>
      </c>
      <c r="I21" s="16" t="s">
        <v>445</v>
      </c>
      <c r="J21" s="15"/>
      <c r="K21" s="15" t="s">
        <v>31</v>
      </c>
      <c r="L21" s="15"/>
      <c r="M21" s="15"/>
      <c r="N21" s="15"/>
    </row>
    <row r="22" spans="1:14" ht="39.6" x14ac:dyDescent="0.3">
      <c r="A22" s="13">
        <v>18</v>
      </c>
      <c r="B22" s="14" t="s">
        <v>709</v>
      </c>
      <c r="C22" s="13" t="s">
        <v>710</v>
      </c>
      <c r="D22" s="13" t="s">
        <v>643</v>
      </c>
      <c r="E22" s="13" t="s">
        <v>206</v>
      </c>
      <c r="F22" s="16" t="s">
        <v>648</v>
      </c>
      <c r="G22" s="13" t="s">
        <v>711</v>
      </c>
      <c r="H22" s="13" t="s">
        <v>712</v>
      </c>
      <c r="I22" s="16" t="s">
        <v>499</v>
      </c>
      <c r="J22" s="15"/>
      <c r="K22" s="15" t="s">
        <v>31</v>
      </c>
      <c r="L22" s="15"/>
      <c r="M22" s="15"/>
      <c r="N22" s="15"/>
    </row>
    <row r="23" spans="1:14" ht="39.6" x14ac:dyDescent="0.3">
      <c r="A23" s="13">
        <v>19</v>
      </c>
      <c r="B23" s="14" t="s">
        <v>713</v>
      </c>
      <c r="C23" s="13" t="s">
        <v>714</v>
      </c>
      <c r="D23" s="13" t="s">
        <v>372</v>
      </c>
      <c r="E23" s="13" t="s">
        <v>156</v>
      </c>
      <c r="F23" s="16" t="s">
        <v>648</v>
      </c>
      <c r="G23" s="13" t="s">
        <v>715</v>
      </c>
      <c r="H23" s="13" t="s">
        <v>716</v>
      </c>
      <c r="I23" s="13" t="s">
        <v>67</v>
      </c>
      <c r="J23" s="15"/>
      <c r="K23" s="15" t="s">
        <v>31</v>
      </c>
      <c r="L23" s="15"/>
      <c r="M23" s="15"/>
      <c r="N23" s="15"/>
    </row>
    <row r="24" spans="1:14" ht="52.8" x14ac:dyDescent="0.3">
      <c r="A24" s="13">
        <v>20</v>
      </c>
      <c r="B24" s="14" t="s">
        <v>717</v>
      </c>
      <c r="C24" s="13" t="s">
        <v>718</v>
      </c>
      <c r="D24" s="13" t="s">
        <v>196</v>
      </c>
      <c r="E24" s="13" t="s">
        <v>156</v>
      </c>
      <c r="F24" s="16" t="s">
        <v>719</v>
      </c>
      <c r="G24" s="13" t="s">
        <v>720</v>
      </c>
      <c r="H24" s="13" t="s">
        <v>721</v>
      </c>
      <c r="I24" s="16" t="s">
        <v>722</v>
      </c>
      <c r="J24" s="15"/>
      <c r="K24" s="15" t="s">
        <v>31</v>
      </c>
      <c r="L24" s="15"/>
      <c r="M24" s="15"/>
      <c r="N24" s="15"/>
    </row>
    <row r="25" spans="1:14" ht="39.6" x14ac:dyDescent="0.3">
      <c r="A25" s="13">
        <v>21</v>
      </c>
      <c r="B25" s="14" t="s">
        <v>723</v>
      </c>
      <c r="C25" s="13" t="s">
        <v>724</v>
      </c>
      <c r="D25" s="13" t="s">
        <v>643</v>
      </c>
      <c r="E25" s="13" t="s">
        <v>206</v>
      </c>
      <c r="F25" s="16" t="s">
        <v>648</v>
      </c>
      <c r="G25" s="13" t="s">
        <v>725</v>
      </c>
      <c r="H25" s="13" t="s">
        <v>726</v>
      </c>
      <c r="I25" s="16" t="s">
        <v>727</v>
      </c>
      <c r="J25" s="15"/>
      <c r="K25" s="15" t="s">
        <v>31</v>
      </c>
      <c r="L25" s="15"/>
      <c r="M25" s="15"/>
      <c r="N25" s="15"/>
    </row>
    <row r="26" spans="1:14" ht="39.6" x14ac:dyDescent="0.3">
      <c r="A26" s="13">
        <v>22</v>
      </c>
      <c r="B26" s="14" t="s">
        <v>728</v>
      </c>
      <c r="C26" s="13" t="s">
        <v>729</v>
      </c>
      <c r="D26" s="13" t="s">
        <v>372</v>
      </c>
      <c r="E26" s="13" t="s">
        <v>206</v>
      </c>
      <c r="F26" s="16" t="s">
        <v>730</v>
      </c>
      <c r="G26" s="13" t="s">
        <v>731</v>
      </c>
      <c r="H26" s="13" t="s">
        <v>732</v>
      </c>
      <c r="I26" s="16" t="s">
        <v>727</v>
      </c>
      <c r="J26" s="15"/>
      <c r="K26" s="15" t="s">
        <v>31</v>
      </c>
      <c r="L26" s="15"/>
      <c r="M26" s="15"/>
      <c r="N26" s="15"/>
    </row>
    <row r="27" spans="1:14" ht="39.6" x14ac:dyDescent="0.3">
      <c r="A27" s="13">
        <v>23</v>
      </c>
      <c r="B27" s="14" t="s">
        <v>733</v>
      </c>
      <c r="C27" s="13" t="s">
        <v>734</v>
      </c>
      <c r="D27" s="13" t="s">
        <v>186</v>
      </c>
      <c r="E27" s="13" t="s">
        <v>156</v>
      </c>
      <c r="F27" s="16" t="s">
        <v>735</v>
      </c>
      <c r="G27" s="13" t="s">
        <v>736</v>
      </c>
      <c r="H27" s="13" t="s">
        <v>737</v>
      </c>
      <c r="I27" s="16" t="s">
        <v>738</v>
      </c>
      <c r="J27" s="15"/>
      <c r="K27" s="15" t="s">
        <v>31</v>
      </c>
      <c r="L27" s="15"/>
      <c r="M27" s="15"/>
      <c r="N27" s="15"/>
    </row>
    <row r="28" spans="1:14" ht="26.4" x14ac:dyDescent="0.3">
      <c r="A28" s="13">
        <v>24</v>
      </c>
      <c r="B28" s="14" t="s">
        <v>739</v>
      </c>
      <c r="C28" s="13" t="s">
        <v>740</v>
      </c>
      <c r="D28" s="13" t="s">
        <v>196</v>
      </c>
      <c r="E28" s="13" t="s">
        <v>206</v>
      </c>
      <c r="F28" s="16" t="s">
        <v>390</v>
      </c>
      <c r="G28" s="13" t="s">
        <v>741</v>
      </c>
      <c r="H28" s="13" t="s">
        <v>742</v>
      </c>
      <c r="I28" s="16" t="s">
        <v>393</v>
      </c>
      <c r="J28" s="15"/>
      <c r="K28" s="15" t="s">
        <v>31</v>
      </c>
      <c r="L28" s="15"/>
      <c r="M28" s="15"/>
      <c r="N28" s="15"/>
    </row>
    <row r="29" spans="1:14" ht="79.2" x14ac:dyDescent="0.3">
      <c r="A29" s="13">
        <v>25</v>
      </c>
      <c r="B29" s="14" t="s">
        <v>743</v>
      </c>
      <c r="C29" s="13" t="s">
        <v>744</v>
      </c>
      <c r="D29" s="13" t="s">
        <v>196</v>
      </c>
      <c r="E29" s="13" t="s">
        <v>156</v>
      </c>
      <c r="F29" s="16" t="s">
        <v>745</v>
      </c>
      <c r="G29" s="13" t="s">
        <v>746</v>
      </c>
      <c r="H29" s="13" t="s">
        <v>747</v>
      </c>
      <c r="I29" s="16" t="s">
        <v>748</v>
      </c>
      <c r="J29" s="15"/>
      <c r="K29" s="15" t="s">
        <v>31</v>
      </c>
      <c r="L29" s="15"/>
      <c r="M29" s="15"/>
      <c r="N29" s="15"/>
    </row>
    <row r="30" spans="1:14" ht="118.8" x14ac:dyDescent="0.3">
      <c r="A30" s="13">
        <v>26</v>
      </c>
      <c r="B30" s="14" t="s">
        <v>749</v>
      </c>
      <c r="C30" s="13" t="s">
        <v>750</v>
      </c>
      <c r="D30" s="13" t="s">
        <v>643</v>
      </c>
      <c r="E30" s="13" t="s">
        <v>156</v>
      </c>
      <c r="F30" s="16" t="s">
        <v>751</v>
      </c>
      <c r="G30" s="13" t="s">
        <v>752</v>
      </c>
      <c r="H30" s="13" t="s">
        <v>753</v>
      </c>
      <c r="I30" s="16" t="s">
        <v>754</v>
      </c>
      <c r="J30" s="15"/>
      <c r="K30" s="15" t="s">
        <v>31</v>
      </c>
      <c r="L30" s="15"/>
      <c r="M30" s="15"/>
      <c r="N30" s="15"/>
    </row>
    <row r="31" spans="1:14" ht="26.4" x14ac:dyDescent="0.3">
      <c r="A31" s="13">
        <v>27</v>
      </c>
      <c r="B31" s="14" t="s">
        <v>755</v>
      </c>
      <c r="C31" s="13" t="s">
        <v>756</v>
      </c>
      <c r="D31" s="13" t="s">
        <v>372</v>
      </c>
      <c r="E31" s="13" t="s">
        <v>206</v>
      </c>
      <c r="F31" s="16" t="s">
        <v>757</v>
      </c>
      <c r="G31" s="13" t="s">
        <v>758</v>
      </c>
      <c r="H31" s="13" t="s">
        <v>759</v>
      </c>
      <c r="I31" s="16" t="s">
        <v>376</v>
      </c>
      <c r="J31" s="15"/>
      <c r="K31" s="15" t="s">
        <v>31</v>
      </c>
      <c r="L31" s="15"/>
      <c r="M31" s="15"/>
      <c r="N31" s="15"/>
    </row>
    <row r="32" spans="1:14" ht="26.4" x14ac:dyDescent="0.3">
      <c r="A32" s="13">
        <v>28</v>
      </c>
      <c r="B32" s="14" t="s">
        <v>760</v>
      </c>
      <c r="C32" s="13" t="s">
        <v>761</v>
      </c>
      <c r="D32" s="13" t="s">
        <v>372</v>
      </c>
      <c r="E32" s="13" t="s">
        <v>206</v>
      </c>
      <c r="F32" s="16" t="s">
        <v>762</v>
      </c>
      <c r="G32" s="13" t="s">
        <v>763</v>
      </c>
      <c r="H32" s="13" t="s">
        <v>764</v>
      </c>
      <c r="I32" s="13" t="s">
        <v>67</v>
      </c>
      <c r="J32" s="15"/>
      <c r="K32" s="15" t="s">
        <v>31</v>
      </c>
      <c r="L32" s="15"/>
      <c r="M32" s="15"/>
      <c r="N32" s="15"/>
    </row>
    <row r="33" spans="1:14" ht="26.4" x14ac:dyDescent="0.3">
      <c r="A33" s="13">
        <v>29</v>
      </c>
      <c r="B33" s="14" t="s">
        <v>765</v>
      </c>
      <c r="C33" s="13" t="s">
        <v>766</v>
      </c>
      <c r="D33" s="13" t="s">
        <v>643</v>
      </c>
      <c r="E33" s="13" t="s">
        <v>310</v>
      </c>
      <c r="F33" s="16" t="s">
        <v>767</v>
      </c>
      <c r="G33" s="13" t="s">
        <v>768</v>
      </c>
      <c r="H33" s="13" t="s">
        <v>769</v>
      </c>
      <c r="I33" s="16" t="s">
        <v>687</v>
      </c>
      <c r="J33" s="15"/>
      <c r="K33" s="15" t="s">
        <v>31</v>
      </c>
      <c r="L33" s="15"/>
      <c r="M33" s="15"/>
      <c r="N33" s="15"/>
    </row>
    <row r="34" spans="1:14" ht="26.4" x14ac:dyDescent="0.3">
      <c r="A34" s="13">
        <v>30</v>
      </c>
      <c r="B34" s="14" t="s">
        <v>770</v>
      </c>
      <c r="C34" s="13" t="s">
        <v>771</v>
      </c>
      <c r="D34" s="13" t="s">
        <v>643</v>
      </c>
      <c r="E34" s="13" t="s">
        <v>156</v>
      </c>
      <c r="F34" s="16" t="s">
        <v>772</v>
      </c>
      <c r="G34" s="13" t="s">
        <v>773</v>
      </c>
      <c r="H34" s="13" t="s">
        <v>774</v>
      </c>
      <c r="I34" s="13" t="s">
        <v>67</v>
      </c>
      <c r="J34" s="15"/>
      <c r="K34" s="15" t="s">
        <v>31</v>
      </c>
      <c r="L34" s="15"/>
      <c r="M34" s="15"/>
      <c r="N34" s="15"/>
    </row>
    <row r="35" spans="1:14" ht="52.8" x14ac:dyDescent="0.3">
      <c r="A35" s="13">
        <v>31</v>
      </c>
      <c r="B35" s="14" t="s">
        <v>775</v>
      </c>
      <c r="C35" s="13" t="s">
        <v>776</v>
      </c>
      <c r="D35" s="13" t="s">
        <v>643</v>
      </c>
      <c r="E35" s="13" t="s">
        <v>206</v>
      </c>
      <c r="F35" s="16" t="s">
        <v>777</v>
      </c>
      <c r="G35" s="13" t="s">
        <v>778</v>
      </c>
      <c r="H35" s="13" t="s">
        <v>779</v>
      </c>
      <c r="I35" s="16" t="s">
        <v>780</v>
      </c>
      <c r="J35" s="15"/>
      <c r="K35" s="15" t="s">
        <v>31</v>
      </c>
      <c r="L35" s="15"/>
      <c r="M35" s="15"/>
      <c r="N35" s="15"/>
    </row>
    <row r="36" spans="1:14" ht="26.4" x14ac:dyDescent="0.3">
      <c r="A36" s="13">
        <v>32</v>
      </c>
      <c r="B36" s="14" t="s">
        <v>781</v>
      </c>
      <c r="C36" s="13" t="s">
        <v>782</v>
      </c>
      <c r="D36" s="13" t="s">
        <v>372</v>
      </c>
      <c r="E36" s="13" t="s">
        <v>310</v>
      </c>
      <c r="F36" s="13" t="s">
        <v>320</v>
      </c>
      <c r="G36" s="13" t="s">
        <v>783</v>
      </c>
      <c r="H36" s="13" t="s">
        <v>784</v>
      </c>
      <c r="I36" s="16" t="s">
        <v>499</v>
      </c>
      <c r="J36" s="15"/>
      <c r="K36" s="15" t="s">
        <v>31</v>
      </c>
      <c r="L36" s="15"/>
      <c r="M36" s="15"/>
      <c r="N36" s="15"/>
    </row>
    <row r="37" spans="1:14" ht="26.4" x14ac:dyDescent="0.3">
      <c r="A37" s="13">
        <v>33</v>
      </c>
      <c r="B37" s="14" t="s">
        <v>785</v>
      </c>
      <c r="C37" s="13" t="s">
        <v>378</v>
      </c>
      <c r="D37" s="13" t="s">
        <v>372</v>
      </c>
      <c r="E37" s="13" t="s">
        <v>206</v>
      </c>
      <c r="F37" s="16" t="s">
        <v>786</v>
      </c>
      <c r="G37" s="13" t="s">
        <v>787</v>
      </c>
      <c r="H37" s="13" t="s">
        <v>788</v>
      </c>
      <c r="I37" s="13" t="s">
        <v>67</v>
      </c>
      <c r="J37" s="15"/>
      <c r="K37" s="15" t="s">
        <v>31</v>
      </c>
      <c r="L37" s="15"/>
      <c r="M37" s="15"/>
      <c r="N37" s="15"/>
    </row>
    <row r="38" spans="1:14" ht="26.4" x14ac:dyDescent="0.3">
      <c r="A38" s="13">
        <v>34</v>
      </c>
      <c r="B38" s="14" t="s">
        <v>789</v>
      </c>
      <c r="C38" s="13" t="s">
        <v>790</v>
      </c>
      <c r="D38" s="13" t="s">
        <v>643</v>
      </c>
      <c r="E38" s="13" t="s">
        <v>156</v>
      </c>
      <c r="F38" s="16" t="s">
        <v>791</v>
      </c>
      <c r="G38" s="13" t="s">
        <v>792</v>
      </c>
      <c r="H38" s="13" t="s">
        <v>793</v>
      </c>
      <c r="I38" s="13" t="s">
        <v>67</v>
      </c>
      <c r="J38" s="15"/>
      <c r="K38" s="15" t="s">
        <v>31</v>
      </c>
      <c r="L38" s="15"/>
      <c r="M38" s="15"/>
      <c r="N38" s="15"/>
    </row>
  </sheetData>
  <autoFilter ref="A4:N38" xr:uid="{00000000-0009-0000-0000-000007000000}"/>
  <conditionalFormatting sqref="K5:K38">
    <cfRule type="cellIs" dxfId="11" priority="1" operator="equal">
      <formula>"Pass"</formula>
    </cfRule>
    <cfRule type="cellIs" dxfId="10" priority="2" operator="equal">
      <formula>"Fail"</formula>
    </cfRule>
    <cfRule type="cellIs" dxfId="9" priority="3" operator="equal">
      <formula>"Blocked"</formula>
    </cfRule>
  </conditionalFormatting>
  <dataValidations count="1">
    <dataValidation type="list" sqref="K5:K38" xr:uid="{00000000-0002-0000-0700-000000000000}">
      <formula1>"Not Run,Pass,Fail,Blocked,N/A"</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9"/>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794</v>
      </c>
    </row>
    <row r="2" spans="1:14" x14ac:dyDescent="0.3">
      <c r="A2" s="5" t="s">
        <v>795</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26.4" x14ac:dyDescent="0.3">
      <c r="A5" s="13">
        <v>1</v>
      </c>
      <c r="B5" s="14" t="s">
        <v>796</v>
      </c>
      <c r="C5" s="13" t="s">
        <v>219</v>
      </c>
      <c r="D5" s="13" t="s">
        <v>186</v>
      </c>
      <c r="E5" s="13" t="s">
        <v>156</v>
      </c>
      <c r="F5" s="16" t="s">
        <v>797</v>
      </c>
      <c r="G5" s="13" t="s">
        <v>798</v>
      </c>
      <c r="H5" s="13" t="s">
        <v>799</v>
      </c>
      <c r="I5" s="13" t="s">
        <v>67</v>
      </c>
      <c r="J5" s="15"/>
      <c r="K5" s="15" t="s">
        <v>31</v>
      </c>
      <c r="L5" s="15"/>
      <c r="M5" s="15"/>
      <c r="N5" s="15"/>
    </row>
    <row r="6" spans="1:14" ht="66" x14ac:dyDescent="0.3">
      <c r="A6" s="13">
        <v>2</v>
      </c>
      <c r="B6" s="14" t="s">
        <v>800</v>
      </c>
      <c r="C6" s="13" t="s">
        <v>801</v>
      </c>
      <c r="D6" s="13" t="s">
        <v>186</v>
      </c>
      <c r="E6" s="13" t="s">
        <v>156</v>
      </c>
      <c r="F6" s="16" t="s">
        <v>802</v>
      </c>
      <c r="G6" s="13" t="s">
        <v>803</v>
      </c>
      <c r="H6" s="13" t="s">
        <v>804</v>
      </c>
      <c r="I6" s="13" t="s">
        <v>67</v>
      </c>
      <c r="J6" s="15"/>
      <c r="K6" s="15" t="s">
        <v>31</v>
      </c>
      <c r="L6" s="15"/>
      <c r="M6" s="15"/>
      <c r="N6" s="15"/>
    </row>
    <row r="7" spans="1:14" ht="39.6" x14ac:dyDescent="0.3">
      <c r="A7" s="13">
        <v>3</v>
      </c>
      <c r="B7" s="14" t="s">
        <v>805</v>
      </c>
      <c r="C7" s="13" t="s">
        <v>806</v>
      </c>
      <c r="D7" s="13" t="s">
        <v>186</v>
      </c>
      <c r="E7" s="13" t="s">
        <v>156</v>
      </c>
      <c r="F7" s="13" t="s">
        <v>320</v>
      </c>
      <c r="G7" s="13" t="s">
        <v>807</v>
      </c>
      <c r="H7" s="13" t="s">
        <v>808</v>
      </c>
      <c r="I7" s="13" t="s">
        <v>67</v>
      </c>
      <c r="J7" s="15"/>
      <c r="K7" s="15" t="s">
        <v>31</v>
      </c>
      <c r="L7" s="15"/>
      <c r="M7" s="15"/>
      <c r="N7" s="15"/>
    </row>
    <row r="8" spans="1:14" ht="26.4" x14ac:dyDescent="0.3">
      <c r="A8" s="13">
        <v>4</v>
      </c>
      <c r="B8" s="14" t="s">
        <v>809</v>
      </c>
      <c r="C8" s="13" t="s">
        <v>810</v>
      </c>
      <c r="D8" s="13" t="s">
        <v>186</v>
      </c>
      <c r="E8" s="13" t="s">
        <v>156</v>
      </c>
      <c r="F8" s="13" t="s">
        <v>320</v>
      </c>
      <c r="G8" s="13" t="s">
        <v>811</v>
      </c>
      <c r="H8" s="13" t="s">
        <v>812</v>
      </c>
      <c r="I8" s="13" t="s">
        <v>67</v>
      </c>
      <c r="J8" s="15"/>
      <c r="K8" s="15" t="s">
        <v>31</v>
      </c>
      <c r="L8" s="15"/>
      <c r="M8" s="15"/>
      <c r="N8" s="15"/>
    </row>
    <row r="9" spans="1:14" ht="26.4" x14ac:dyDescent="0.3">
      <c r="A9" s="13">
        <v>5</v>
      </c>
      <c r="B9" s="14" t="s">
        <v>813</v>
      </c>
      <c r="C9" s="13" t="s">
        <v>814</v>
      </c>
      <c r="D9" s="13" t="s">
        <v>186</v>
      </c>
      <c r="E9" s="13" t="s">
        <v>156</v>
      </c>
      <c r="F9" s="16" t="s">
        <v>815</v>
      </c>
      <c r="G9" s="13" t="s">
        <v>816</v>
      </c>
      <c r="H9" s="13" t="s">
        <v>817</v>
      </c>
      <c r="I9" s="16" t="s">
        <v>818</v>
      </c>
      <c r="J9" s="15"/>
      <c r="K9" s="15" t="s">
        <v>31</v>
      </c>
      <c r="L9" s="15"/>
      <c r="M9" s="15"/>
      <c r="N9" s="15"/>
    </row>
    <row r="10" spans="1:14" ht="39.6" x14ac:dyDescent="0.3">
      <c r="A10" s="13">
        <v>6</v>
      </c>
      <c r="B10" s="14" t="s">
        <v>819</v>
      </c>
      <c r="C10" s="13" t="s">
        <v>820</v>
      </c>
      <c r="D10" s="13" t="s">
        <v>186</v>
      </c>
      <c r="E10" s="13" t="s">
        <v>156</v>
      </c>
      <c r="F10" s="16" t="s">
        <v>821</v>
      </c>
      <c r="G10" s="13" t="s">
        <v>822</v>
      </c>
      <c r="H10" s="13" t="s">
        <v>823</v>
      </c>
      <c r="I10" s="13" t="s">
        <v>67</v>
      </c>
      <c r="J10" s="15"/>
      <c r="K10" s="15" t="s">
        <v>31</v>
      </c>
      <c r="L10" s="15"/>
      <c r="M10" s="15"/>
      <c r="N10" s="15"/>
    </row>
    <row r="11" spans="1:14" x14ac:dyDescent="0.3">
      <c r="A11" s="13">
        <v>7</v>
      </c>
      <c r="B11" s="14" t="s">
        <v>824</v>
      </c>
      <c r="C11" s="13" t="s">
        <v>825</v>
      </c>
      <c r="D11" s="13" t="s">
        <v>186</v>
      </c>
      <c r="E11" s="13" t="s">
        <v>310</v>
      </c>
      <c r="F11" s="13" t="s">
        <v>67</v>
      </c>
      <c r="G11" s="13" t="s">
        <v>826</v>
      </c>
      <c r="H11" s="13" t="s">
        <v>827</v>
      </c>
      <c r="I11" s="13" t="s">
        <v>67</v>
      </c>
      <c r="J11" s="15"/>
      <c r="K11" s="15" t="s">
        <v>31</v>
      </c>
      <c r="L11" s="15"/>
      <c r="M11" s="15"/>
      <c r="N11" s="15"/>
    </row>
    <row r="12" spans="1:14" ht="39.6" x14ac:dyDescent="0.3">
      <c r="A12" s="13">
        <v>8</v>
      </c>
      <c r="B12" s="14" t="s">
        <v>828</v>
      </c>
      <c r="C12" s="13" t="s">
        <v>829</v>
      </c>
      <c r="D12" s="13" t="s">
        <v>186</v>
      </c>
      <c r="E12" s="13" t="s">
        <v>206</v>
      </c>
      <c r="F12" s="13" t="s">
        <v>67</v>
      </c>
      <c r="G12" s="13" t="s">
        <v>830</v>
      </c>
      <c r="H12" s="13" t="s">
        <v>831</v>
      </c>
      <c r="I12" s="13" t="s">
        <v>67</v>
      </c>
      <c r="J12" s="15"/>
      <c r="K12" s="15" t="s">
        <v>31</v>
      </c>
      <c r="L12" s="15"/>
      <c r="M12" s="15"/>
      <c r="N12" s="15"/>
    </row>
    <row r="13" spans="1:14" ht="26.4" x14ac:dyDescent="0.3">
      <c r="A13" s="13">
        <v>9</v>
      </c>
      <c r="B13" s="14" t="s">
        <v>832</v>
      </c>
      <c r="C13" s="13" t="s">
        <v>833</v>
      </c>
      <c r="D13" s="13" t="s">
        <v>186</v>
      </c>
      <c r="E13" s="13" t="s">
        <v>206</v>
      </c>
      <c r="F13" s="16" t="s">
        <v>834</v>
      </c>
      <c r="G13" s="13" t="s">
        <v>835</v>
      </c>
      <c r="H13" s="13" t="s">
        <v>836</v>
      </c>
      <c r="I13" s="13" t="s">
        <v>67</v>
      </c>
      <c r="J13" s="15"/>
      <c r="K13" s="15" t="s">
        <v>31</v>
      </c>
      <c r="L13" s="15"/>
      <c r="M13" s="15"/>
      <c r="N13" s="15"/>
    </row>
    <row r="14" spans="1:14" ht="79.2" x14ac:dyDescent="0.3">
      <c r="A14" s="13">
        <v>10</v>
      </c>
      <c r="B14" s="14" t="s">
        <v>837</v>
      </c>
      <c r="C14" s="13" t="s">
        <v>838</v>
      </c>
      <c r="D14" s="13" t="s">
        <v>186</v>
      </c>
      <c r="E14" s="13" t="s">
        <v>156</v>
      </c>
      <c r="F14" s="16" t="s">
        <v>839</v>
      </c>
      <c r="G14" s="13" t="s">
        <v>840</v>
      </c>
      <c r="H14" s="13" t="s">
        <v>841</v>
      </c>
      <c r="I14" s="13" t="s">
        <v>67</v>
      </c>
      <c r="J14" s="15"/>
      <c r="K14" s="15" t="s">
        <v>31</v>
      </c>
      <c r="L14" s="15"/>
      <c r="M14" s="15"/>
      <c r="N14" s="15"/>
    </row>
    <row r="15" spans="1:14" ht="118.8" x14ac:dyDescent="0.3">
      <c r="A15" s="13">
        <v>11</v>
      </c>
      <c r="B15" s="14" t="s">
        <v>842</v>
      </c>
      <c r="C15" s="13" t="s">
        <v>843</v>
      </c>
      <c r="D15" s="13" t="s">
        <v>212</v>
      </c>
      <c r="E15" s="13" t="s">
        <v>156</v>
      </c>
      <c r="F15" s="16" t="s">
        <v>844</v>
      </c>
      <c r="G15" s="13" t="s">
        <v>845</v>
      </c>
      <c r="H15" s="13" t="s">
        <v>846</v>
      </c>
      <c r="I15" s="16" t="s">
        <v>570</v>
      </c>
      <c r="J15" s="15"/>
      <c r="K15" s="15" t="s">
        <v>31</v>
      </c>
      <c r="L15" s="15"/>
      <c r="M15" s="15"/>
      <c r="N15" s="15"/>
    </row>
    <row r="16" spans="1:14" ht="26.4" x14ac:dyDescent="0.3">
      <c r="A16" s="13">
        <v>12</v>
      </c>
      <c r="B16" s="14" t="s">
        <v>847</v>
      </c>
      <c r="C16" s="13" t="s">
        <v>848</v>
      </c>
      <c r="D16" s="13" t="s">
        <v>186</v>
      </c>
      <c r="E16" s="13" t="s">
        <v>206</v>
      </c>
      <c r="F16" s="16" t="s">
        <v>849</v>
      </c>
      <c r="G16" s="13" t="s">
        <v>850</v>
      </c>
      <c r="H16" s="13" t="s">
        <v>851</v>
      </c>
      <c r="I16" s="13" t="s">
        <v>67</v>
      </c>
      <c r="J16" s="15"/>
      <c r="K16" s="15" t="s">
        <v>31</v>
      </c>
      <c r="L16" s="15"/>
      <c r="M16" s="15"/>
      <c r="N16" s="15"/>
    </row>
    <row r="17" spans="1:14" ht="52.8" x14ac:dyDescent="0.3">
      <c r="A17" s="13">
        <v>13</v>
      </c>
      <c r="B17" s="14" t="s">
        <v>852</v>
      </c>
      <c r="C17" s="13" t="s">
        <v>853</v>
      </c>
      <c r="D17" s="13" t="s">
        <v>474</v>
      </c>
      <c r="E17" s="13" t="s">
        <v>156</v>
      </c>
      <c r="F17" s="16" t="s">
        <v>854</v>
      </c>
      <c r="G17" s="13" t="s">
        <v>855</v>
      </c>
      <c r="H17" s="13" t="s">
        <v>856</v>
      </c>
      <c r="I17" s="16" t="s">
        <v>857</v>
      </c>
      <c r="J17" s="15"/>
      <c r="K17" s="15" t="s">
        <v>31</v>
      </c>
      <c r="L17" s="15"/>
      <c r="M17" s="15"/>
      <c r="N17" s="15"/>
    </row>
    <row r="18" spans="1:14" ht="79.2" x14ac:dyDescent="0.3">
      <c r="A18" s="13">
        <v>14</v>
      </c>
      <c r="B18" s="14" t="s">
        <v>858</v>
      </c>
      <c r="C18" s="13" t="s">
        <v>859</v>
      </c>
      <c r="D18" s="13" t="s">
        <v>186</v>
      </c>
      <c r="E18" s="13" t="s">
        <v>206</v>
      </c>
      <c r="F18" s="16" t="s">
        <v>860</v>
      </c>
      <c r="G18" s="13" t="s">
        <v>861</v>
      </c>
      <c r="H18" s="13" t="s">
        <v>862</v>
      </c>
      <c r="I18" s="16" t="s">
        <v>863</v>
      </c>
      <c r="J18" s="15"/>
      <c r="K18" s="15" t="s">
        <v>31</v>
      </c>
      <c r="L18" s="15"/>
      <c r="M18" s="15"/>
      <c r="N18" s="15"/>
    </row>
    <row r="19" spans="1:14" ht="26.4" x14ac:dyDescent="0.3">
      <c r="A19" s="13">
        <v>15</v>
      </c>
      <c r="B19" s="14" t="s">
        <v>864</v>
      </c>
      <c r="C19" s="13" t="s">
        <v>865</v>
      </c>
      <c r="D19" s="13" t="s">
        <v>186</v>
      </c>
      <c r="E19" s="13" t="s">
        <v>156</v>
      </c>
      <c r="F19" s="16" t="s">
        <v>866</v>
      </c>
      <c r="G19" s="13" t="s">
        <v>867</v>
      </c>
      <c r="H19" s="13" t="s">
        <v>868</v>
      </c>
      <c r="I19" s="13" t="s">
        <v>67</v>
      </c>
      <c r="J19" s="15"/>
      <c r="K19" s="15" t="s">
        <v>31</v>
      </c>
      <c r="L19" s="15"/>
      <c r="M19" s="15"/>
      <c r="N19" s="15"/>
    </row>
    <row r="20" spans="1:14" x14ac:dyDescent="0.3">
      <c r="A20" s="13">
        <v>16</v>
      </c>
      <c r="B20" s="14" t="s">
        <v>869</v>
      </c>
      <c r="C20" s="13" t="s">
        <v>870</v>
      </c>
      <c r="D20" s="13" t="s">
        <v>186</v>
      </c>
      <c r="E20" s="13" t="s">
        <v>156</v>
      </c>
      <c r="F20" s="16" t="s">
        <v>871</v>
      </c>
      <c r="G20" s="13" t="s">
        <v>872</v>
      </c>
      <c r="H20" s="13" t="s">
        <v>873</v>
      </c>
      <c r="I20" s="13" t="s">
        <v>67</v>
      </c>
      <c r="J20" s="15"/>
      <c r="K20" s="15" t="s">
        <v>31</v>
      </c>
      <c r="L20" s="15"/>
      <c r="M20" s="15"/>
      <c r="N20" s="15"/>
    </row>
    <row r="21" spans="1:14" ht="26.4" x14ac:dyDescent="0.3">
      <c r="A21" s="13">
        <v>17</v>
      </c>
      <c r="B21" s="14" t="s">
        <v>874</v>
      </c>
      <c r="C21" s="13" t="s">
        <v>875</v>
      </c>
      <c r="D21" s="13" t="s">
        <v>186</v>
      </c>
      <c r="E21" s="13" t="s">
        <v>156</v>
      </c>
      <c r="F21" s="16" t="s">
        <v>876</v>
      </c>
      <c r="G21" s="13" t="s">
        <v>877</v>
      </c>
      <c r="H21" s="13" t="s">
        <v>878</v>
      </c>
      <c r="I21" s="16" t="s">
        <v>879</v>
      </c>
      <c r="J21" s="15"/>
      <c r="K21" s="15" t="s">
        <v>31</v>
      </c>
      <c r="L21" s="15"/>
      <c r="M21" s="15"/>
      <c r="N21" s="15"/>
    </row>
    <row r="22" spans="1:14" ht="52.8" x14ac:dyDescent="0.3">
      <c r="A22" s="13">
        <v>18</v>
      </c>
      <c r="B22" s="14" t="s">
        <v>880</v>
      </c>
      <c r="C22" s="13" t="s">
        <v>881</v>
      </c>
      <c r="D22" s="13" t="s">
        <v>186</v>
      </c>
      <c r="E22" s="13" t="s">
        <v>156</v>
      </c>
      <c r="F22" s="16" t="s">
        <v>882</v>
      </c>
      <c r="G22" s="13" t="s">
        <v>883</v>
      </c>
      <c r="H22" s="13" t="s">
        <v>884</v>
      </c>
      <c r="I22" s="16" t="s">
        <v>885</v>
      </c>
      <c r="J22" s="15"/>
      <c r="K22" s="15" t="s">
        <v>31</v>
      </c>
      <c r="L22" s="15"/>
      <c r="M22" s="15"/>
      <c r="N22" s="15"/>
    </row>
    <row r="23" spans="1:14" ht="26.4" x14ac:dyDescent="0.3">
      <c r="A23" s="13">
        <v>19</v>
      </c>
      <c r="B23" s="14" t="s">
        <v>886</v>
      </c>
      <c r="C23" s="13" t="s">
        <v>887</v>
      </c>
      <c r="D23" s="13" t="s">
        <v>186</v>
      </c>
      <c r="E23" s="13" t="s">
        <v>206</v>
      </c>
      <c r="F23" s="16" t="s">
        <v>888</v>
      </c>
      <c r="G23" s="13" t="s">
        <v>889</v>
      </c>
      <c r="H23" s="13" t="s">
        <v>890</v>
      </c>
      <c r="I23" s="16" t="s">
        <v>891</v>
      </c>
      <c r="J23" s="15"/>
      <c r="K23" s="15" t="s">
        <v>31</v>
      </c>
      <c r="L23" s="15"/>
      <c r="M23" s="15"/>
      <c r="N23" s="15"/>
    </row>
    <row r="24" spans="1:14" ht="39.6" x14ac:dyDescent="0.3">
      <c r="A24" s="13">
        <v>20</v>
      </c>
      <c r="B24" s="14" t="s">
        <v>892</v>
      </c>
      <c r="C24" s="13" t="s">
        <v>893</v>
      </c>
      <c r="D24" s="13" t="s">
        <v>186</v>
      </c>
      <c r="E24" s="13" t="s">
        <v>206</v>
      </c>
      <c r="F24" s="16" t="s">
        <v>894</v>
      </c>
      <c r="G24" s="13" t="s">
        <v>895</v>
      </c>
      <c r="H24" s="13" t="s">
        <v>896</v>
      </c>
      <c r="I24" s="16" t="s">
        <v>897</v>
      </c>
      <c r="J24" s="15"/>
      <c r="K24" s="15" t="s">
        <v>31</v>
      </c>
      <c r="L24" s="15"/>
      <c r="M24" s="15"/>
      <c r="N24" s="15"/>
    </row>
    <row r="25" spans="1:14" ht="39.6" x14ac:dyDescent="0.3">
      <c r="A25" s="13">
        <v>21</v>
      </c>
      <c r="B25" s="14" t="s">
        <v>898</v>
      </c>
      <c r="C25" s="13" t="s">
        <v>899</v>
      </c>
      <c r="D25" s="13" t="s">
        <v>186</v>
      </c>
      <c r="E25" s="13" t="s">
        <v>156</v>
      </c>
      <c r="F25" s="16" t="s">
        <v>900</v>
      </c>
      <c r="G25" s="13" t="s">
        <v>901</v>
      </c>
      <c r="H25" s="13" t="s">
        <v>902</v>
      </c>
      <c r="I25" s="16" t="s">
        <v>903</v>
      </c>
      <c r="J25" s="15"/>
      <c r="K25" s="15" t="s">
        <v>31</v>
      </c>
      <c r="L25" s="15"/>
      <c r="M25" s="15"/>
      <c r="N25" s="15"/>
    </row>
    <row r="26" spans="1:14" ht="52.8" x14ac:dyDescent="0.3">
      <c r="A26" s="13">
        <v>22</v>
      </c>
      <c r="B26" s="14" t="s">
        <v>904</v>
      </c>
      <c r="C26" s="13" t="s">
        <v>905</v>
      </c>
      <c r="D26" s="13" t="s">
        <v>186</v>
      </c>
      <c r="E26" s="13" t="s">
        <v>206</v>
      </c>
      <c r="F26" s="16" t="s">
        <v>906</v>
      </c>
      <c r="G26" s="13" t="s">
        <v>907</v>
      </c>
      <c r="H26" s="13" t="s">
        <v>908</v>
      </c>
      <c r="I26" s="16" t="s">
        <v>909</v>
      </c>
      <c r="J26" s="15"/>
      <c r="K26" s="15" t="s">
        <v>31</v>
      </c>
      <c r="L26" s="15"/>
      <c r="M26" s="15"/>
      <c r="N26" s="15"/>
    </row>
    <row r="27" spans="1:14" ht="39.6" x14ac:dyDescent="0.3">
      <c r="A27" s="13">
        <v>23</v>
      </c>
      <c r="B27" s="14" t="s">
        <v>910</v>
      </c>
      <c r="C27" s="13" t="s">
        <v>911</v>
      </c>
      <c r="D27" s="13" t="s">
        <v>186</v>
      </c>
      <c r="E27" s="13" t="s">
        <v>156</v>
      </c>
      <c r="F27" s="16" t="s">
        <v>912</v>
      </c>
      <c r="G27" s="13" t="s">
        <v>913</v>
      </c>
      <c r="H27" s="13" t="s">
        <v>914</v>
      </c>
      <c r="I27" s="16" t="s">
        <v>499</v>
      </c>
      <c r="J27" s="15"/>
      <c r="K27" s="15" t="s">
        <v>31</v>
      </c>
      <c r="L27" s="15"/>
      <c r="M27" s="15"/>
      <c r="N27" s="15"/>
    </row>
    <row r="28" spans="1:14" ht="52.8" x14ac:dyDescent="0.3">
      <c r="A28" s="13">
        <v>24</v>
      </c>
      <c r="B28" s="14" t="s">
        <v>915</v>
      </c>
      <c r="C28" s="13" t="s">
        <v>916</v>
      </c>
      <c r="D28" s="13" t="s">
        <v>336</v>
      </c>
      <c r="E28" s="13" t="s">
        <v>156</v>
      </c>
      <c r="F28" s="16" t="s">
        <v>917</v>
      </c>
      <c r="G28" s="13" t="s">
        <v>918</v>
      </c>
      <c r="H28" s="13" t="s">
        <v>919</v>
      </c>
      <c r="I28" s="13" t="s">
        <v>67</v>
      </c>
      <c r="J28" s="15"/>
      <c r="K28" s="15" t="s">
        <v>31</v>
      </c>
      <c r="L28" s="15"/>
      <c r="M28" s="15"/>
      <c r="N28" s="15"/>
    </row>
    <row r="29" spans="1:14" ht="39.6" x14ac:dyDescent="0.3">
      <c r="A29" s="13">
        <v>25</v>
      </c>
      <c r="B29" s="14" t="s">
        <v>920</v>
      </c>
      <c r="C29" s="13" t="s">
        <v>921</v>
      </c>
      <c r="D29" s="13" t="s">
        <v>336</v>
      </c>
      <c r="E29" s="13" t="s">
        <v>206</v>
      </c>
      <c r="F29" s="16" t="s">
        <v>922</v>
      </c>
      <c r="G29" s="13" t="s">
        <v>923</v>
      </c>
      <c r="H29" s="13" t="s">
        <v>924</v>
      </c>
      <c r="I29" s="16" t="s">
        <v>925</v>
      </c>
      <c r="J29" s="15"/>
      <c r="K29" s="15" t="s">
        <v>31</v>
      </c>
      <c r="L29" s="15"/>
      <c r="M29" s="15"/>
      <c r="N29" s="15"/>
    </row>
    <row r="30" spans="1:14" ht="26.4" x14ac:dyDescent="0.3">
      <c r="A30" s="13">
        <v>26</v>
      </c>
      <c r="B30" s="14" t="s">
        <v>926</v>
      </c>
      <c r="C30" s="13" t="s">
        <v>927</v>
      </c>
      <c r="D30" s="13" t="s">
        <v>186</v>
      </c>
      <c r="E30" s="13" t="s">
        <v>206</v>
      </c>
      <c r="F30" s="16" t="s">
        <v>928</v>
      </c>
      <c r="G30" s="13" t="s">
        <v>929</v>
      </c>
      <c r="H30" s="13" t="s">
        <v>930</v>
      </c>
      <c r="I30" s="16" t="s">
        <v>931</v>
      </c>
      <c r="J30" s="15"/>
      <c r="K30" s="15" t="s">
        <v>31</v>
      </c>
      <c r="L30" s="15"/>
      <c r="M30" s="15"/>
      <c r="N30" s="15"/>
    </row>
    <row r="31" spans="1:14" ht="66" x14ac:dyDescent="0.3">
      <c r="A31" s="13">
        <v>27</v>
      </c>
      <c r="B31" s="14" t="s">
        <v>932</v>
      </c>
      <c r="C31" s="13" t="s">
        <v>933</v>
      </c>
      <c r="D31" s="13" t="s">
        <v>186</v>
      </c>
      <c r="E31" s="13" t="s">
        <v>156</v>
      </c>
      <c r="F31" s="16" t="s">
        <v>934</v>
      </c>
      <c r="G31" s="13" t="s">
        <v>935</v>
      </c>
      <c r="H31" s="13" t="s">
        <v>936</v>
      </c>
      <c r="I31" s="13" t="s">
        <v>67</v>
      </c>
      <c r="J31" s="15"/>
      <c r="K31" s="15" t="s">
        <v>31</v>
      </c>
      <c r="L31" s="15"/>
      <c r="M31" s="15"/>
      <c r="N31" s="15"/>
    </row>
    <row r="32" spans="1:14" ht="39.6" x14ac:dyDescent="0.3">
      <c r="A32" s="13">
        <v>28</v>
      </c>
      <c r="B32" s="14" t="s">
        <v>937</v>
      </c>
      <c r="C32" s="13" t="s">
        <v>938</v>
      </c>
      <c r="D32" s="13" t="s">
        <v>186</v>
      </c>
      <c r="E32" s="13" t="s">
        <v>156</v>
      </c>
      <c r="F32" s="16" t="s">
        <v>888</v>
      </c>
      <c r="G32" s="13" t="s">
        <v>939</v>
      </c>
      <c r="H32" s="13" t="s">
        <v>940</v>
      </c>
      <c r="I32" s="13" t="s">
        <v>67</v>
      </c>
      <c r="J32" s="15"/>
      <c r="K32" s="15" t="s">
        <v>31</v>
      </c>
      <c r="L32" s="15"/>
      <c r="M32" s="15"/>
      <c r="N32" s="15"/>
    </row>
    <row r="33" spans="1:14" x14ac:dyDescent="0.3">
      <c r="A33" s="13">
        <v>29</v>
      </c>
      <c r="B33" s="14" t="s">
        <v>941</v>
      </c>
      <c r="C33" s="13" t="s">
        <v>942</v>
      </c>
      <c r="D33" s="13" t="s">
        <v>186</v>
      </c>
      <c r="E33" s="13" t="s">
        <v>310</v>
      </c>
      <c r="F33" s="16" t="s">
        <v>943</v>
      </c>
      <c r="G33" s="13" t="s">
        <v>944</v>
      </c>
      <c r="H33" s="13" t="s">
        <v>945</v>
      </c>
      <c r="I33" s="13" t="s">
        <v>67</v>
      </c>
      <c r="J33" s="15"/>
      <c r="K33" s="15" t="s">
        <v>31</v>
      </c>
      <c r="L33" s="15"/>
      <c r="M33" s="15"/>
      <c r="N33" s="15"/>
    </row>
    <row r="34" spans="1:14" x14ac:dyDescent="0.3">
      <c r="A34" s="13">
        <v>30</v>
      </c>
      <c r="B34" s="14" t="s">
        <v>946</v>
      </c>
      <c r="C34" s="13" t="s">
        <v>947</v>
      </c>
      <c r="D34" s="13" t="s">
        <v>186</v>
      </c>
      <c r="E34" s="13" t="s">
        <v>206</v>
      </c>
      <c r="F34" s="16" t="s">
        <v>948</v>
      </c>
      <c r="G34" s="13" t="s">
        <v>949</v>
      </c>
      <c r="H34" s="13" t="s">
        <v>950</v>
      </c>
      <c r="I34" s="16" t="s">
        <v>951</v>
      </c>
      <c r="J34" s="15"/>
      <c r="K34" s="15" t="s">
        <v>31</v>
      </c>
      <c r="L34" s="15"/>
      <c r="M34" s="15"/>
      <c r="N34" s="15"/>
    </row>
    <row r="35" spans="1:14" ht="26.4" x14ac:dyDescent="0.3">
      <c r="A35" s="13">
        <v>31</v>
      </c>
      <c r="B35" s="14" t="s">
        <v>952</v>
      </c>
      <c r="C35" s="13" t="s">
        <v>953</v>
      </c>
      <c r="D35" s="13" t="s">
        <v>186</v>
      </c>
      <c r="E35" s="13" t="s">
        <v>156</v>
      </c>
      <c r="F35" s="16" t="s">
        <v>954</v>
      </c>
      <c r="G35" s="13" t="s">
        <v>955</v>
      </c>
      <c r="H35" s="13" t="s">
        <v>956</v>
      </c>
      <c r="I35" s="16" t="s">
        <v>957</v>
      </c>
      <c r="J35" s="15"/>
      <c r="K35" s="15" t="s">
        <v>31</v>
      </c>
      <c r="L35" s="15"/>
      <c r="M35" s="15"/>
      <c r="N35" s="15"/>
    </row>
    <row r="36" spans="1:14" ht="39.6" x14ac:dyDescent="0.3">
      <c r="A36" s="13">
        <v>32</v>
      </c>
      <c r="B36" s="14" t="s">
        <v>958</v>
      </c>
      <c r="C36" s="13" t="s">
        <v>577</v>
      </c>
      <c r="D36" s="13" t="s">
        <v>186</v>
      </c>
      <c r="E36" s="13" t="s">
        <v>206</v>
      </c>
      <c r="F36" s="16" t="s">
        <v>959</v>
      </c>
      <c r="G36" s="13" t="s">
        <v>960</v>
      </c>
      <c r="H36" s="13" t="s">
        <v>961</v>
      </c>
      <c r="I36" s="16" t="s">
        <v>962</v>
      </c>
      <c r="J36" s="15"/>
      <c r="K36" s="15" t="s">
        <v>31</v>
      </c>
      <c r="L36" s="15"/>
      <c r="M36" s="15"/>
      <c r="N36" s="15"/>
    </row>
    <row r="37" spans="1:14" ht="26.4" x14ac:dyDescent="0.3">
      <c r="A37" s="13">
        <v>33</v>
      </c>
      <c r="B37" s="14" t="s">
        <v>963</v>
      </c>
      <c r="C37" s="13" t="s">
        <v>964</v>
      </c>
      <c r="D37" s="13" t="s">
        <v>186</v>
      </c>
      <c r="E37" s="13" t="s">
        <v>206</v>
      </c>
      <c r="F37" s="16" t="s">
        <v>965</v>
      </c>
      <c r="G37" s="13" t="s">
        <v>966</v>
      </c>
      <c r="H37" s="13" t="s">
        <v>967</v>
      </c>
      <c r="I37" s="16" t="s">
        <v>957</v>
      </c>
      <c r="J37" s="15"/>
      <c r="K37" s="15" t="s">
        <v>31</v>
      </c>
      <c r="L37" s="15"/>
      <c r="M37" s="15"/>
      <c r="N37" s="15"/>
    </row>
    <row r="38" spans="1:14" ht="66" x14ac:dyDescent="0.3">
      <c r="A38" s="13">
        <v>34</v>
      </c>
      <c r="B38" s="14" t="s">
        <v>968</v>
      </c>
      <c r="C38" s="13" t="s">
        <v>969</v>
      </c>
      <c r="D38" s="13" t="s">
        <v>372</v>
      </c>
      <c r="E38" s="13" t="s">
        <v>156</v>
      </c>
      <c r="F38" s="16" t="s">
        <v>970</v>
      </c>
      <c r="G38" s="13" t="s">
        <v>971</v>
      </c>
      <c r="H38" s="13" t="s">
        <v>972</v>
      </c>
      <c r="I38" s="13" t="s">
        <v>67</v>
      </c>
      <c r="J38" s="15"/>
      <c r="K38" s="15" t="s">
        <v>31</v>
      </c>
      <c r="L38" s="15"/>
      <c r="M38" s="15"/>
      <c r="N38" s="15"/>
    </row>
    <row r="39" spans="1:14" ht="26.4" x14ac:dyDescent="0.3">
      <c r="A39" s="13">
        <v>35</v>
      </c>
      <c r="B39" s="14" t="s">
        <v>973</v>
      </c>
      <c r="C39" s="13" t="s">
        <v>378</v>
      </c>
      <c r="D39" s="13" t="s">
        <v>186</v>
      </c>
      <c r="E39" s="13" t="s">
        <v>206</v>
      </c>
      <c r="F39" s="13" t="s">
        <v>67</v>
      </c>
      <c r="G39" s="13" t="s">
        <v>974</v>
      </c>
      <c r="H39" s="13" t="s">
        <v>975</v>
      </c>
      <c r="I39" s="13" t="s">
        <v>67</v>
      </c>
      <c r="J39" s="15"/>
      <c r="K39" s="15" t="s">
        <v>31</v>
      </c>
      <c r="L39" s="15"/>
      <c r="M39" s="15"/>
      <c r="N39" s="15"/>
    </row>
  </sheetData>
  <autoFilter ref="A4:N39" xr:uid="{00000000-0009-0000-0000-000008000000}"/>
  <conditionalFormatting sqref="K5:K39">
    <cfRule type="cellIs" dxfId="8" priority="1" operator="equal">
      <formula>"Pass"</formula>
    </cfRule>
    <cfRule type="cellIs" dxfId="7" priority="2" operator="equal">
      <formula>"Fail"</formula>
    </cfRule>
    <cfRule type="cellIs" dxfId="6" priority="3" operator="equal">
      <formula>"Blocked"</formula>
    </cfRule>
  </conditionalFormatting>
  <dataValidations count="1">
    <dataValidation type="list" sqref="K5:K39" xr:uid="{00000000-0002-0000-0800-000000000000}">
      <formula1>"Not Run,Pass,Fail,Blocked,N/A"</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976</v>
      </c>
    </row>
    <row r="2" spans="1:14" x14ac:dyDescent="0.3">
      <c r="A2" s="5" t="s">
        <v>977</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39.6" x14ac:dyDescent="0.3">
      <c r="A5" s="13">
        <v>1</v>
      </c>
      <c r="B5" s="14" t="s">
        <v>978</v>
      </c>
      <c r="C5" s="13" t="s">
        <v>219</v>
      </c>
      <c r="D5" s="13" t="s">
        <v>186</v>
      </c>
      <c r="E5" s="13" t="s">
        <v>156</v>
      </c>
      <c r="F5" s="13" t="s">
        <v>67</v>
      </c>
      <c r="G5" s="13" t="s">
        <v>979</v>
      </c>
      <c r="H5" s="13" t="s">
        <v>980</v>
      </c>
      <c r="I5" s="13" t="s">
        <v>67</v>
      </c>
      <c r="J5" s="15"/>
      <c r="K5" s="15" t="s">
        <v>31</v>
      </c>
      <c r="L5" s="15"/>
      <c r="M5" s="15"/>
      <c r="N5" s="15"/>
    </row>
    <row r="6" spans="1:14" x14ac:dyDescent="0.3">
      <c r="A6" s="13">
        <v>2</v>
      </c>
      <c r="B6" s="14" t="s">
        <v>981</v>
      </c>
      <c r="C6" s="13" t="s">
        <v>982</v>
      </c>
      <c r="D6" s="13" t="s">
        <v>186</v>
      </c>
      <c r="E6" s="13" t="s">
        <v>206</v>
      </c>
      <c r="F6" s="13" t="s">
        <v>67</v>
      </c>
      <c r="G6" s="13" t="s">
        <v>983</v>
      </c>
      <c r="H6" s="13" t="s">
        <v>984</v>
      </c>
      <c r="I6" s="13" t="s">
        <v>67</v>
      </c>
      <c r="J6" s="15"/>
      <c r="K6" s="15" t="s">
        <v>31</v>
      </c>
      <c r="L6" s="15"/>
      <c r="M6" s="15"/>
      <c r="N6" s="15"/>
    </row>
    <row r="7" spans="1:14" ht="26.4" x14ac:dyDescent="0.3">
      <c r="A7" s="13">
        <v>3</v>
      </c>
      <c r="B7" s="14" t="s">
        <v>985</v>
      </c>
      <c r="C7" s="13" t="s">
        <v>986</v>
      </c>
      <c r="D7" s="13" t="s">
        <v>186</v>
      </c>
      <c r="E7" s="13" t="s">
        <v>206</v>
      </c>
      <c r="F7" s="13" t="s">
        <v>67</v>
      </c>
      <c r="G7" s="13" t="s">
        <v>987</v>
      </c>
      <c r="H7" s="13" t="s">
        <v>988</v>
      </c>
      <c r="I7" s="13" t="s">
        <v>67</v>
      </c>
      <c r="J7" s="15"/>
      <c r="K7" s="15" t="s">
        <v>31</v>
      </c>
      <c r="L7" s="15"/>
      <c r="M7" s="15"/>
      <c r="N7" s="15"/>
    </row>
    <row r="8" spans="1:14" ht="39.6" x14ac:dyDescent="0.3">
      <c r="A8" s="13">
        <v>4</v>
      </c>
      <c r="B8" s="14" t="s">
        <v>989</v>
      </c>
      <c r="C8" s="13" t="s">
        <v>990</v>
      </c>
      <c r="D8" s="13" t="s">
        <v>186</v>
      </c>
      <c r="E8" s="13" t="s">
        <v>156</v>
      </c>
      <c r="F8" s="13" t="s">
        <v>67</v>
      </c>
      <c r="G8" s="13" t="s">
        <v>991</v>
      </c>
      <c r="H8" s="13" t="s">
        <v>992</v>
      </c>
      <c r="I8" s="13" t="s">
        <v>67</v>
      </c>
      <c r="J8" s="15"/>
      <c r="K8" s="15" t="s">
        <v>31</v>
      </c>
      <c r="L8" s="15"/>
      <c r="M8" s="15"/>
      <c r="N8" s="15"/>
    </row>
    <row r="9" spans="1:14" ht="39.6" x14ac:dyDescent="0.3">
      <c r="A9" s="13">
        <v>5</v>
      </c>
      <c r="B9" s="14" t="s">
        <v>993</v>
      </c>
      <c r="C9" s="13" t="s">
        <v>994</v>
      </c>
      <c r="D9" s="13" t="s">
        <v>186</v>
      </c>
      <c r="E9" s="13" t="s">
        <v>156</v>
      </c>
      <c r="F9" s="13" t="s">
        <v>67</v>
      </c>
      <c r="G9" s="13" t="s">
        <v>995</v>
      </c>
      <c r="H9" s="13" t="s">
        <v>996</v>
      </c>
      <c r="I9" s="13" t="s">
        <v>67</v>
      </c>
      <c r="J9" s="15"/>
      <c r="K9" s="15" t="s">
        <v>31</v>
      </c>
      <c r="L9" s="15"/>
      <c r="M9" s="15"/>
      <c r="N9" s="15"/>
    </row>
    <row r="10" spans="1:14" ht="26.4" x14ac:dyDescent="0.3">
      <c r="A10" s="13">
        <v>6</v>
      </c>
      <c r="B10" s="14" t="s">
        <v>997</v>
      </c>
      <c r="C10" s="13" t="s">
        <v>998</v>
      </c>
      <c r="D10" s="13" t="s">
        <v>186</v>
      </c>
      <c r="E10" s="13" t="s">
        <v>206</v>
      </c>
      <c r="F10" s="13" t="s">
        <v>67</v>
      </c>
      <c r="G10" s="13" t="s">
        <v>999</v>
      </c>
      <c r="H10" s="13" t="s">
        <v>1000</v>
      </c>
      <c r="I10" s="13" t="s">
        <v>67</v>
      </c>
      <c r="J10" s="15"/>
      <c r="K10" s="15" t="s">
        <v>31</v>
      </c>
      <c r="L10" s="15"/>
      <c r="M10" s="15"/>
      <c r="N10" s="15"/>
    </row>
    <row r="11" spans="1:14" x14ac:dyDescent="0.3">
      <c r="A11" s="13">
        <v>7</v>
      </c>
      <c r="B11" s="14" t="s">
        <v>1001</v>
      </c>
      <c r="C11" s="13" t="s">
        <v>1002</v>
      </c>
      <c r="D11" s="13" t="s">
        <v>186</v>
      </c>
      <c r="E11" s="13" t="s">
        <v>206</v>
      </c>
      <c r="F11" s="13" t="s">
        <v>67</v>
      </c>
      <c r="G11" s="13" t="s">
        <v>1003</v>
      </c>
      <c r="H11" s="13" t="s">
        <v>1004</v>
      </c>
      <c r="I11" s="13" t="s">
        <v>67</v>
      </c>
      <c r="J11" s="15"/>
      <c r="K11" s="15" t="s">
        <v>31</v>
      </c>
      <c r="L11" s="15"/>
      <c r="M11" s="15"/>
      <c r="N11" s="15"/>
    </row>
    <row r="12" spans="1:14" ht="39.6" x14ac:dyDescent="0.3">
      <c r="A12" s="13">
        <v>8</v>
      </c>
      <c r="B12" s="14" t="s">
        <v>1005</v>
      </c>
      <c r="C12" s="13" t="s">
        <v>1006</v>
      </c>
      <c r="D12" s="13" t="s">
        <v>186</v>
      </c>
      <c r="E12" s="13" t="s">
        <v>156</v>
      </c>
      <c r="F12" s="13" t="s">
        <v>67</v>
      </c>
      <c r="G12" s="13" t="s">
        <v>1007</v>
      </c>
      <c r="H12" s="13" t="s">
        <v>1008</v>
      </c>
      <c r="I12" s="13" t="s">
        <v>67</v>
      </c>
      <c r="J12" s="15"/>
      <c r="K12" s="15" t="s">
        <v>31</v>
      </c>
      <c r="L12" s="15"/>
      <c r="M12" s="15"/>
      <c r="N12" s="15"/>
    </row>
    <row r="13" spans="1:14" ht="39.6" x14ac:dyDescent="0.3">
      <c r="A13" s="13">
        <v>9</v>
      </c>
      <c r="B13" s="14" t="s">
        <v>1009</v>
      </c>
      <c r="C13" s="13" t="s">
        <v>1010</v>
      </c>
      <c r="D13" s="13" t="s">
        <v>186</v>
      </c>
      <c r="E13" s="13" t="s">
        <v>156</v>
      </c>
      <c r="F13" s="13" t="s">
        <v>67</v>
      </c>
      <c r="G13" s="13" t="s">
        <v>1011</v>
      </c>
      <c r="H13" s="13" t="s">
        <v>1012</v>
      </c>
      <c r="I13" s="13" t="s">
        <v>67</v>
      </c>
      <c r="J13" s="15"/>
      <c r="K13" s="15" t="s">
        <v>31</v>
      </c>
      <c r="L13" s="15"/>
      <c r="M13" s="15"/>
      <c r="N13" s="15"/>
    </row>
    <row r="14" spans="1:14" ht="26.4" x14ac:dyDescent="0.3">
      <c r="A14" s="13">
        <v>10</v>
      </c>
      <c r="B14" s="14" t="s">
        <v>1013</v>
      </c>
      <c r="C14" s="13" t="s">
        <v>1014</v>
      </c>
      <c r="D14" s="13" t="s">
        <v>186</v>
      </c>
      <c r="E14" s="13" t="s">
        <v>206</v>
      </c>
      <c r="F14" s="13" t="s">
        <v>67</v>
      </c>
      <c r="G14" s="13" t="s">
        <v>1015</v>
      </c>
      <c r="H14" s="13" t="s">
        <v>1016</v>
      </c>
      <c r="I14" s="13" t="s">
        <v>67</v>
      </c>
      <c r="J14" s="15"/>
      <c r="K14" s="15" t="s">
        <v>31</v>
      </c>
      <c r="L14" s="15"/>
      <c r="M14" s="15"/>
      <c r="N14" s="15"/>
    </row>
    <row r="15" spans="1:14" ht="26.4" x14ac:dyDescent="0.3">
      <c r="A15" s="13">
        <v>11</v>
      </c>
      <c r="B15" s="14" t="s">
        <v>1017</v>
      </c>
      <c r="C15" s="13" t="s">
        <v>1018</v>
      </c>
      <c r="D15" s="13" t="s">
        <v>186</v>
      </c>
      <c r="E15" s="13" t="s">
        <v>206</v>
      </c>
      <c r="F15" s="13" t="s">
        <v>67</v>
      </c>
      <c r="G15" s="13" t="s">
        <v>1019</v>
      </c>
      <c r="H15" s="13" t="s">
        <v>1020</v>
      </c>
      <c r="I15" s="13" t="s">
        <v>67</v>
      </c>
      <c r="J15" s="15"/>
      <c r="K15" s="15" t="s">
        <v>31</v>
      </c>
      <c r="L15" s="15"/>
      <c r="M15" s="15"/>
      <c r="N15" s="15"/>
    </row>
    <row r="16" spans="1:14" ht="39.6" x14ac:dyDescent="0.3">
      <c r="A16" s="13">
        <v>12</v>
      </c>
      <c r="B16" s="14" t="s">
        <v>1021</v>
      </c>
      <c r="C16" s="13" t="s">
        <v>1022</v>
      </c>
      <c r="D16" s="13" t="s">
        <v>186</v>
      </c>
      <c r="E16" s="13" t="s">
        <v>206</v>
      </c>
      <c r="F16" s="13" t="s">
        <v>67</v>
      </c>
      <c r="G16" s="13" t="s">
        <v>1023</v>
      </c>
      <c r="H16" s="13" t="s">
        <v>1024</v>
      </c>
      <c r="I16" s="13" t="s">
        <v>67</v>
      </c>
      <c r="J16" s="15"/>
      <c r="K16" s="15" t="s">
        <v>31</v>
      </c>
      <c r="L16" s="15"/>
      <c r="M16" s="15"/>
      <c r="N16" s="15"/>
    </row>
    <row r="17" spans="1:14" x14ac:dyDescent="0.3">
      <c r="A17" s="13">
        <v>13</v>
      </c>
      <c r="B17" s="14" t="s">
        <v>1025</v>
      </c>
      <c r="C17" s="13" t="s">
        <v>1026</v>
      </c>
      <c r="D17" s="13" t="s">
        <v>186</v>
      </c>
      <c r="E17" s="13" t="s">
        <v>156</v>
      </c>
      <c r="F17" s="13" t="s">
        <v>67</v>
      </c>
      <c r="G17" s="13" t="s">
        <v>1027</v>
      </c>
      <c r="H17" s="13" t="s">
        <v>1028</v>
      </c>
      <c r="I17" s="13" t="s">
        <v>67</v>
      </c>
      <c r="J17" s="15"/>
      <c r="K17" s="15" t="s">
        <v>31</v>
      </c>
      <c r="L17" s="15"/>
      <c r="M17" s="15"/>
      <c r="N17" s="15"/>
    </row>
    <row r="18" spans="1:14" ht="26.4" x14ac:dyDescent="0.3">
      <c r="A18" s="13">
        <v>14</v>
      </c>
      <c r="B18" s="14" t="s">
        <v>1029</v>
      </c>
      <c r="C18" s="13" t="s">
        <v>1030</v>
      </c>
      <c r="D18" s="13" t="s">
        <v>186</v>
      </c>
      <c r="E18" s="13" t="s">
        <v>206</v>
      </c>
      <c r="F18" s="13" t="s">
        <v>67</v>
      </c>
      <c r="G18" s="13" t="s">
        <v>1031</v>
      </c>
      <c r="H18" s="13" t="s">
        <v>1032</v>
      </c>
      <c r="I18" s="13" t="s">
        <v>67</v>
      </c>
      <c r="J18" s="15"/>
      <c r="K18" s="15" t="s">
        <v>31</v>
      </c>
      <c r="L18" s="15"/>
      <c r="M18" s="15"/>
      <c r="N18" s="15"/>
    </row>
    <row r="19" spans="1:14" x14ac:dyDescent="0.3">
      <c r="A19" s="13">
        <v>15</v>
      </c>
      <c r="B19" s="14" t="s">
        <v>1033</v>
      </c>
      <c r="C19" s="13" t="s">
        <v>1034</v>
      </c>
      <c r="D19" s="13" t="s">
        <v>186</v>
      </c>
      <c r="E19" s="13" t="s">
        <v>310</v>
      </c>
      <c r="F19" s="13" t="s">
        <v>67</v>
      </c>
      <c r="G19" s="13" t="s">
        <v>1035</v>
      </c>
      <c r="H19" s="13" t="s">
        <v>1036</v>
      </c>
      <c r="I19" s="13" t="s">
        <v>67</v>
      </c>
      <c r="J19" s="15"/>
      <c r="K19" s="15" t="s">
        <v>31</v>
      </c>
      <c r="L19" s="15"/>
      <c r="M19" s="15"/>
      <c r="N19" s="15"/>
    </row>
    <row r="20" spans="1:14" ht="39.6" x14ac:dyDescent="0.3">
      <c r="A20" s="13">
        <v>16</v>
      </c>
      <c r="B20" s="14" t="s">
        <v>1037</v>
      </c>
      <c r="C20" s="13" t="s">
        <v>1038</v>
      </c>
      <c r="D20" s="13" t="s">
        <v>186</v>
      </c>
      <c r="E20" s="13" t="s">
        <v>156</v>
      </c>
      <c r="F20" s="16" t="s">
        <v>1039</v>
      </c>
      <c r="G20" s="13" t="s">
        <v>1040</v>
      </c>
      <c r="H20" s="13" t="s">
        <v>1041</v>
      </c>
      <c r="I20" s="13" t="s">
        <v>67</v>
      </c>
      <c r="J20" s="15"/>
      <c r="K20" s="15" t="s">
        <v>31</v>
      </c>
      <c r="L20" s="15"/>
      <c r="M20" s="15"/>
      <c r="N20" s="15"/>
    </row>
    <row r="21" spans="1:14" x14ac:dyDescent="0.3">
      <c r="A21" s="13">
        <v>17</v>
      </c>
      <c r="B21" s="14" t="s">
        <v>1042</v>
      </c>
      <c r="C21" s="13" t="s">
        <v>1043</v>
      </c>
      <c r="D21" s="13" t="s">
        <v>186</v>
      </c>
      <c r="E21" s="13" t="s">
        <v>156</v>
      </c>
      <c r="F21" s="16" t="s">
        <v>1039</v>
      </c>
      <c r="G21" s="13" t="s">
        <v>1044</v>
      </c>
      <c r="H21" s="13" t="s">
        <v>1045</v>
      </c>
      <c r="I21" s="13" t="s">
        <v>67</v>
      </c>
      <c r="J21" s="15"/>
      <c r="K21" s="15" t="s">
        <v>31</v>
      </c>
      <c r="L21" s="15"/>
      <c r="M21" s="15"/>
      <c r="N21" s="15"/>
    </row>
    <row r="22" spans="1:14" ht="26.4" x14ac:dyDescent="0.3">
      <c r="A22" s="13">
        <v>18</v>
      </c>
      <c r="B22" s="14" t="s">
        <v>1046</v>
      </c>
      <c r="C22" s="13" t="s">
        <v>1047</v>
      </c>
      <c r="D22" s="13" t="s">
        <v>372</v>
      </c>
      <c r="E22" s="13" t="s">
        <v>156</v>
      </c>
      <c r="F22" s="16" t="s">
        <v>1048</v>
      </c>
      <c r="G22" s="13" t="s">
        <v>1049</v>
      </c>
      <c r="H22" s="13" t="s">
        <v>1050</v>
      </c>
      <c r="I22" s="13" t="s">
        <v>67</v>
      </c>
      <c r="J22" s="15"/>
      <c r="K22" s="15" t="s">
        <v>31</v>
      </c>
      <c r="L22" s="15"/>
      <c r="M22" s="15"/>
      <c r="N22" s="15"/>
    </row>
  </sheetData>
  <autoFilter ref="A4:N22" xr:uid="{00000000-0009-0000-0000-000009000000}"/>
  <conditionalFormatting sqref="K5:K22">
    <cfRule type="cellIs" dxfId="5" priority="1" operator="equal">
      <formula>"Pass"</formula>
    </cfRule>
    <cfRule type="cellIs" dxfId="4" priority="2" operator="equal">
      <formula>"Fail"</formula>
    </cfRule>
    <cfRule type="cellIs" dxfId="3" priority="3" operator="equal">
      <formula>"Blocked"</formula>
    </cfRule>
  </conditionalFormatting>
  <dataValidations count="1">
    <dataValidation type="list" sqref="K5:K22" xr:uid="{00000000-0002-0000-0900-000000000000}">
      <formula1>"Not Run,Pass,Fail,Blocked,N/A"</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5"/>
  <sheetViews>
    <sheetView zoomScale="90" workbookViewId="0">
      <pane xSplit="3" ySplit="4" topLeftCell="D5" activePane="bottomRight" state="frozen"/>
      <selection pane="topRight"/>
      <selection pane="bottomLeft"/>
      <selection pane="bottomRight"/>
    </sheetView>
  </sheetViews>
  <sheetFormatPr defaultRowHeight="14.4" x14ac:dyDescent="0.3"/>
  <cols>
    <col min="1" max="1" width="6" customWidth="1"/>
    <col min="2" max="2" width="8" customWidth="1"/>
    <col min="3" max="3" width="22" customWidth="1"/>
    <col min="4" max="4" width="14" customWidth="1"/>
    <col min="5" max="5" width="9" customWidth="1"/>
    <col min="6" max="6" width="40" customWidth="1"/>
    <col min="7" max="7" width="52" customWidth="1"/>
    <col min="8" max="8" width="62" customWidth="1"/>
    <col min="9" max="9" width="30" customWidth="1"/>
    <col min="10" max="10" width="34" customWidth="1"/>
    <col min="11" max="11" width="11" customWidth="1"/>
    <col min="12" max="12" width="22" customWidth="1"/>
    <col min="13" max="13" width="12" customWidth="1"/>
    <col min="14" max="14" width="13" customWidth="1"/>
  </cols>
  <sheetData>
    <row r="1" spans="1:14" ht="17.399999999999999" x14ac:dyDescent="0.3">
      <c r="A1" s="4" t="s">
        <v>1051</v>
      </c>
    </row>
    <row r="2" spans="1:14" x14ac:dyDescent="0.3">
      <c r="A2" s="5" t="s">
        <v>1052</v>
      </c>
    </row>
    <row r="4" spans="1:14" ht="30" customHeight="1" x14ac:dyDescent="0.3">
      <c r="A4" s="6" t="s">
        <v>141</v>
      </c>
      <c r="B4" s="6" t="s">
        <v>142</v>
      </c>
      <c r="C4" s="6" t="s">
        <v>143</v>
      </c>
      <c r="D4" s="6" t="s">
        <v>144</v>
      </c>
      <c r="E4" s="6" t="s">
        <v>145</v>
      </c>
      <c r="F4" s="6" t="s">
        <v>146</v>
      </c>
      <c r="G4" s="6" t="s">
        <v>147</v>
      </c>
      <c r="H4" s="6" t="s">
        <v>148</v>
      </c>
      <c r="I4" s="6" t="s">
        <v>149</v>
      </c>
      <c r="J4" s="6" t="s">
        <v>150</v>
      </c>
      <c r="K4" s="6" t="s">
        <v>49</v>
      </c>
      <c r="L4" s="6" t="s">
        <v>151</v>
      </c>
      <c r="M4" s="6" t="s">
        <v>152</v>
      </c>
      <c r="N4" s="6" t="s">
        <v>153</v>
      </c>
    </row>
    <row r="5" spans="1:14" ht="92.4" x14ac:dyDescent="0.3">
      <c r="A5" s="13">
        <v>1</v>
      </c>
      <c r="B5" s="14" t="s">
        <v>1053</v>
      </c>
      <c r="C5" s="13" t="s">
        <v>1054</v>
      </c>
      <c r="D5" s="13" t="s">
        <v>1055</v>
      </c>
      <c r="E5" s="13" t="s">
        <v>156</v>
      </c>
      <c r="F5" s="13" t="s">
        <v>320</v>
      </c>
      <c r="G5" s="13" t="s">
        <v>1056</v>
      </c>
      <c r="H5" s="13" t="s">
        <v>1057</v>
      </c>
      <c r="I5" s="16" t="s">
        <v>1058</v>
      </c>
      <c r="J5" s="15"/>
      <c r="K5" s="15" t="s">
        <v>31</v>
      </c>
      <c r="L5" s="15"/>
      <c r="M5" s="15"/>
      <c r="N5" s="15"/>
    </row>
    <row r="6" spans="1:14" ht="39.6" x14ac:dyDescent="0.3">
      <c r="A6" s="13">
        <v>2</v>
      </c>
      <c r="B6" s="14" t="s">
        <v>1059</v>
      </c>
      <c r="C6" s="13" t="s">
        <v>1060</v>
      </c>
      <c r="D6" s="13" t="s">
        <v>1055</v>
      </c>
      <c r="E6" s="13" t="s">
        <v>156</v>
      </c>
      <c r="F6" s="13" t="s">
        <v>320</v>
      </c>
      <c r="G6" s="13" t="s">
        <v>1061</v>
      </c>
      <c r="H6" s="13" t="s">
        <v>1062</v>
      </c>
      <c r="I6" s="16" t="s">
        <v>1063</v>
      </c>
      <c r="J6" s="15"/>
      <c r="K6" s="15" t="s">
        <v>31</v>
      </c>
      <c r="L6" s="15"/>
      <c r="M6" s="15"/>
      <c r="N6" s="15"/>
    </row>
    <row r="7" spans="1:14" ht="66" x14ac:dyDescent="0.3">
      <c r="A7" s="13">
        <v>3</v>
      </c>
      <c r="B7" s="14" t="s">
        <v>1064</v>
      </c>
      <c r="C7" s="13" t="s">
        <v>1065</v>
      </c>
      <c r="D7" s="13" t="s">
        <v>1055</v>
      </c>
      <c r="E7" s="13" t="s">
        <v>156</v>
      </c>
      <c r="F7" s="13" t="s">
        <v>320</v>
      </c>
      <c r="G7" s="13" t="s">
        <v>1066</v>
      </c>
      <c r="H7" s="13" t="s">
        <v>1067</v>
      </c>
      <c r="I7" s="16" t="s">
        <v>1058</v>
      </c>
      <c r="J7" s="15"/>
      <c r="K7" s="15" t="s">
        <v>31</v>
      </c>
      <c r="L7" s="15"/>
      <c r="M7" s="15"/>
      <c r="N7" s="15"/>
    </row>
    <row r="8" spans="1:14" ht="66" x14ac:dyDescent="0.3">
      <c r="A8" s="13">
        <v>4</v>
      </c>
      <c r="B8" s="14" t="s">
        <v>1068</v>
      </c>
      <c r="C8" s="13" t="s">
        <v>1069</v>
      </c>
      <c r="D8" s="13" t="s">
        <v>336</v>
      </c>
      <c r="E8" s="13" t="s">
        <v>156</v>
      </c>
      <c r="F8" s="16" t="s">
        <v>1070</v>
      </c>
      <c r="G8" s="13" t="s">
        <v>1071</v>
      </c>
      <c r="H8" s="13" t="s">
        <v>1072</v>
      </c>
      <c r="I8" s="16" t="s">
        <v>1058</v>
      </c>
      <c r="J8" s="15"/>
      <c r="K8" s="15" t="s">
        <v>31</v>
      </c>
      <c r="L8" s="15"/>
      <c r="M8" s="15"/>
      <c r="N8" s="15"/>
    </row>
    <row r="9" spans="1:14" ht="52.8" x14ac:dyDescent="0.3">
      <c r="A9" s="13">
        <v>5</v>
      </c>
      <c r="B9" s="14" t="s">
        <v>1073</v>
      </c>
      <c r="C9" s="13" t="s">
        <v>484</v>
      </c>
      <c r="D9" s="13" t="s">
        <v>1055</v>
      </c>
      <c r="E9" s="13" t="s">
        <v>206</v>
      </c>
      <c r="F9" s="13" t="s">
        <v>320</v>
      </c>
      <c r="G9" s="13" t="s">
        <v>1074</v>
      </c>
      <c r="H9" s="13" t="s">
        <v>1075</v>
      </c>
      <c r="I9" s="13" t="s">
        <v>67</v>
      </c>
      <c r="J9" s="15"/>
      <c r="K9" s="15" t="s">
        <v>31</v>
      </c>
      <c r="L9" s="15"/>
      <c r="M9" s="15"/>
      <c r="N9" s="15"/>
    </row>
    <row r="10" spans="1:14" ht="26.4" x14ac:dyDescent="0.3">
      <c r="A10" s="13">
        <v>6</v>
      </c>
      <c r="B10" s="14" t="s">
        <v>1076</v>
      </c>
      <c r="C10" s="13" t="s">
        <v>1077</v>
      </c>
      <c r="D10" s="13" t="s">
        <v>186</v>
      </c>
      <c r="E10" s="13" t="s">
        <v>206</v>
      </c>
      <c r="F10" s="13" t="s">
        <v>320</v>
      </c>
      <c r="G10" s="13" t="s">
        <v>1078</v>
      </c>
      <c r="H10" s="13" t="s">
        <v>1079</v>
      </c>
      <c r="I10" s="13" t="s">
        <v>67</v>
      </c>
      <c r="J10" s="15"/>
      <c r="K10" s="15" t="s">
        <v>31</v>
      </c>
      <c r="L10" s="15"/>
      <c r="M10" s="15"/>
      <c r="N10" s="15"/>
    </row>
    <row r="11" spans="1:14" ht="52.8" x14ac:dyDescent="0.3">
      <c r="A11" s="13">
        <v>7</v>
      </c>
      <c r="B11" s="14" t="s">
        <v>1080</v>
      </c>
      <c r="C11" s="13" t="s">
        <v>1081</v>
      </c>
      <c r="D11" s="13" t="s">
        <v>1055</v>
      </c>
      <c r="E11" s="13" t="s">
        <v>156</v>
      </c>
      <c r="F11" s="13" t="s">
        <v>320</v>
      </c>
      <c r="G11" s="13" t="s">
        <v>1082</v>
      </c>
      <c r="H11" s="13" t="s">
        <v>1083</v>
      </c>
      <c r="I11" s="16" t="s">
        <v>1084</v>
      </c>
      <c r="J11" s="15"/>
      <c r="K11" s="15" t="s">
        <v>31</v>
      </c>
      <c r="L11" s="15"/>
      <c r="M11" s="15"/>
      <c r="N11" s="15"/>
    </row>
    <row r="12" spans="1:14" ht="26.4" x14ac:dyDescent="0.3">
      <c r="A12" s="13">
        <v>8</v>
      </c>
      <c r="B12" s="14" t="s">
        <v>1085</v>
      </c>
      <c r="C12" s="13" t="s">
        <v>1086</v>
      </c>
      <c r="D12" s="13" t="s">
        <v>186</v>
      </c>
      <c r="E12" s="13" t="s">
        <v>206</v>
      </c>
      <c r="F12" s="13" t="s">
        <v>320</v>
      </c>
      <c r="G12" s="13" t="s">
        <v>1087</v>
      </c>
      <c r="H12" s="13" t="s">
        <v>1088</v>
      </c>
      <c r="I12" s="13" t="s">
        <v>67</v>
      </c>
      <c r="J12" s="15"/>
      <c r="K12" s="15" t="s">
        <v>31</v>
      </c>
      <c r="L12" s="15"/>
      <c r="M12" s="15"/>
      <c r="N12" s="15"/>
    </row>
    <row r="13" spans="1:14" ht="52.8" x14ac:dyDescent="0.3">
      <c r="A13" s="13">
        <v>9</v>
      </c>
      <c r="B13" s="14" t="s">
        <v>1089</v>
      </c>
      <c r="C13" s="13" t="s">
        <v>1090</v>
      </c>
      <c r="D13" s="13" t="s">
        <v>1055</v>
      </c>
      <c r="E13" s="13" t="s">
        <v>206</v>
      </c>
      <c r="F13" s="16" t="s">
        <v>1091</v>
      </c>
      <c r="G13" s="13" t="s">
        <v>1092</v>
      </c>
      <c r="H13" s="13" t="s">
        <v>1093</v>
      </c>
      <c r="I13" s="16" t="s">
        <v>1094</v>
      </c>
      <c r="J13" s="15"/>
      <c r="K13" s="15" t="s">
        <v>31</v>
      </c>
      <c r="L13" s="15"/>
      <c r="M13" s="15"/>
      <c r="N13" s="15"/>
    </row>
    <row r="14" spans="1:14" ht="39.6" x14ac:dyDescent="0.3">
      <c r="A14" s="13">
        <v>10</v>
      </c>
      <c r="B14" s="14" t="s">
        <v>1095</v>
      </c>
      <c r="C14" s="13" t="s">
        <v>1096</v>
      </c>
      <c r="D14" s="13" t="s">
        <v>1055</v>
      </c>
      <c r="E14" s="13" t="s">
        <v>206</v>
      </c>
      <c r="F14" s="13" t="s">
        <v>320</v>
      </c>
      <c r="G14" s="13" t="s">
        <v>1097</v>
      </c>
      <c r="H14" s="13" t="s">
        <v>1098</v>
      </c>
      <c r="I14" s="16" t="s">
        <v>1099</v>
      </c>
      <c r="J14" s="15"/>
      <c r="K14" s="15" t="s">
        <v>31</v>
      </c>
      <c r="L14" s="15"/>
      <c r="M14" s="15"/>
      <c r="N14" s="15"/>
    </row>
    <row r="15" spans="1:14" ht="26.4" x14ac:dyDescent="0.3">
      <c r="A15" s="13">
        <v>11</v>
      </c>
      <c r="B15" s="14" t="s">
        <v>1100</v>
      </c>
      <c r="C15" s="13" t="s">
        <v>1101</v>
      </c>
      <c r="D15" s="13" t="s">
        <v>372</v>
      </c>
      <c r="E15" s="13" t="s">
        <v>156</v>
      </c>
      <c r="F15" s="16" t="s">
        <v>1102</v>
      </c>
      <c r="G15" s="13" t="s">
        <v>1103</v>
      </c>
      <c r="H15" s="13" t="s">
        <v>1104</v>
      </c>
      <c r="I15" s="16" t="s">
        <v>1105</v>
      </c>
      <c r="J15" s="15"/>
      <c r="K15" s="15" t="s">
        <v>31</v>
      </c>
      <c r="L15" s="15"/>
      <c r="M15" s="15"/>
      <c r="N15" s="15"/>
    </row>
    <row r="16" spans="1:14" ht="26.4" x14ac:dyDescent="0.3">
      <c r="A16" s="13">
        <v>12</v>
      </c>
      <c r="B16" s="14" t="s">
        <v>1106</v>
      </c>
      <c r="C16" s="13" t="s">
        <v>1107</v>
      </c>
      <c r="D16" s="13" t="s">
        <v>643</v>
      </c>
      <c r="E16" s="13" t="s">
        <v>206</v>
      </c>
      <c r="F16" s="16" t="s">
        <v>1108</v>
      </c>
      <c r="G16" s="13" t="s">
        <v>1109</v>
      </c>
      <c r="H16" s="13" t="s">
        <v>1110</v>
      </c>
      <c r="I16" s="16" t="s">
        <v>1111</v>
      </c>
      <c r="J16" s="15"/>
      <c r="K16" s="15" t="s">
        <v>31</v>
      </c>
      <c r="L16" s="15"/>
      <c r="M16" s="15"/>
      <c r="N16" s="15"/>
    </row>
    <row r="17" spans="1:14" ht="26.4" x14ac:dyDescent="0.3">
      <c r="A17" s="13">
        <v>13</v>
      </c>
      <c r="B17" s="14" t="s">
        <v>1112</v>
      </c>
      <c r="C17" s="13" t="s">
        <v>1113</v>
      </c>
      <c r="D17" s="13" t="s">
        <v>186</v>
      </c>
      <c r="E17" s="13" t="s">
        <v>156</v>
      </c>
      <c r="F17" s="16" t="s">
        <v>1114</v>
      </c>
      <c r="G17" s="13" t="s">
        <v>1115</v>
      </c>
      <c r="H17" s="13" t="s">
        <v>1116</v>
      </c>
      <c r="I17" s="13" t="s">
        <v>67</v>
      </c>
      <c r="J17" s="15"/>
      <c r="K17" s="15" t="s">
        <v>31</v>
      </c>
      <c r="L17" s="15"/>
      <c r="M17" s="15"/>
      <c r="N17" s="15"/>
    </row>
    <row r="18" spans="1:14" ht="26.4" x14ac:dyDescent="0.3">
      <c r="A18" s="13">
        <v>14</v>
      </c>
      <c r="B18" s="14" t="s">
        <v>1117</v>
      </c>
      <c r="C18" s="13" t="s">
        <v>1118</v>
      </c>
      <c r="D18" s="13" t="s">
        <v>372</v>
      </c>
      <c r="E18" s="13" t="s">
        <v>206</v>
      </c>
      <c r="F18" s="13" t="s">
        <v>67</v>
      </c>
      <c r="G18" s="13" t="s">
        <v>1119</v>
      </c>
      <c r="H18" s="13" t="s">
        <v>1120</v>
      </c>
      <c r="I18" s="13" t="s">
        <v>67</v>
      </c>
      <c r="J18" s="15"/>
      <c r="K18" s="15" t="s">
        <v>31</v>
      </c>
      <c r="L18" s="15"/>
      <c r="M18" s="15"/>
      <c r="N18" s="15"/>
    </row>
    <row r="19" spans="1:14" ht="39.6" x14ac:dyDescent="0.3">
      <c r="A19" s="13">
        <v>15</v>
      </c>
      <c r="B19" s="14" t="s">
        <v>1121</v>
      </c>
      <c r="C19" s="13" t="s">
        <v>1122</v>
      </c>
      <c r="D19" s="13" t="s">
        <v>186</v>
      </c>
      <c r="E19" s="13" t="s">
        <v>206</v>
      </c>
      <c r="F19" s="13" t="s">
        <v>67</v>
      </c>
      <c r="G19" s="13" t="s">
        <v>1123</v>
      </c>
      <c r="H19" s="13" t="s">
        <v>1124</v>
      </c>
      <c r="I19" s="16" t="s">
        <v>499</v>
      </c>
      <c r="J19" s="15"/>
      <c r="K19" s="15" t="s">
        <v>31</v>
      </c>
      <c r="L19" s="15"/>
      <c r="M19" s="15"/>
      <c r="N19" s="15"/>
    </row>
    <row r="20" spans="1:14" ht="39.6" x14ac:dyDescent="0.3">
      <c r="A20" s="13">
        <v>16</v>
      </c>
      <c r="B20" s="14" t="s">
        <v>1125</v>
      </c>
      <c r="C20" s="13" t="s">
        <v>1126</v>
      </c>
      <c r="D20" s="13" t="s">
        <v>186</v>
      </c>
      <c r="E20" s="13" t="s">
        <v>156</v>
      </c>
      <c r="F20" s="16" t="s">
        <v>1127</v>
      </c>
      <c r="G20" s="13" t="s">
        <v>1128</v>
      </c>
      <c r="H20" s="13" t="s">
        <v>1129</v>
      </c>
      <c r="I20" s="13" t="s">
        <v>67</v>
      </c>
      <c r="J20" s="15"/>
      <c r="K20" s="15" t="s">
        <v>31</v>
      </c>
      <c r="L20" s="15"/>
      <c r="M20" s="15"/>
      <c r="N20" s="15"/>
    </row>
    <row r="21" spans="1:14" ht="26.4" x14ac:dyDescent="0.3">
      <c r="A21" s="13">
        <v>17</v>
      </c>
      <c r="B21" s="14" t="s">
        <v>1130</v>
      </c>
      <c r="C21" s="13" t="s">
        <v>1131</v>
      </c>
      <c r="D21" s="13" t="s">
        <v>186</v>
      </c>
      <c r="E21" s="13" t="s">
        <v>206</v>
      </c>
      <c r="F21" s="16" t="s">
        <v>1132</v>
      </c>
      <c r="G21" s="13" t="s">
        <v>1133</v>
      </c>
      <c r="H21" s="13" t="s">
        <v>1134</v>
      </c>
      <c r="I21" s="13" t="s">
        <v>67</v>
      </c>
      <c r="J21" s="15"/>
      <c r="K21" s="15" t="s">
        <v>31</v>
      </c>
      <c r="L21" s="15"/>
      <c r="M21" s="15"/>
      <c r="N21" s="15"/>
    </row>
    <row r="22" spans="1:14" ht="26.4" x14ac:dyDescent="0.3">
      <c r="A22" s="13">
        <v>18</v>
      </c>
      <c r="B22" s="14" t="s">
        <v>1135</v>
      </c>
      <c r="C22" s="13" t="s">
        <v>1136</v>
      </c>
      <c r="D22" s="13" t="s">
        <v>186</v>
      </c>
      <c r="E22" s="13" t="s">
        <v>156</v>
      </c>
      <c r="F22" s="16" t="s">
        <v>1137</v>
      </c>
      <c r="G22" s="13" t="s">
        <v>1138</v>
      </c>
      <c r="H22" s="13" t="s">
        <v>1139</v>
      </c>
      <c r="I22" s="16" t="s">
        <v>264</v>
      </c>
      <c r="J22" s="15"/>
      <c r="K22" s="15" t="s">
        <v>31</v>
      </c>
      <c r="L22" s="15"/>
      <c r="M22" s="15"/>
      <c r="N22" s="15"/>
    </row>
    <row r="23" spans="1:14" ht="26.4" x14ac:dyDescent="0.3">
      <c r="A23" s="13">
        <v>19</v>
      </c>
      <c r="B23" s="14" t="s">
        <v>1140</v>
      </c>
      <c r="C23" s="13" t="s">
        <v>1141</v>
      </c>
      <c r="D23" s="13" t="s">
        <v>1055</v>
      </c>
      <c r="E23" s="13" t="s">
        <v>206</v>
      </c>
      <c r="F23" s="13" t="s">
        <v>67</v>
      </c>
      <c r="G23" s="13" t="s">
        <v>1142</v>
      </c>
      <c r="H23" s="13" t="s">
        <v>1143</v>
      </c>
      <c r="I23" s="13" t="s">
        <v>67</v>
      </c>
      <c r="J23" s="15"/>
      <c r="K23" s="15" t="s">
        <v>31</v>
      </c>
      <c r="L23" s="15"/>
      <c r="M23" s="15"/>
      <c r="N23" s="15"/>
    </row>
    <row r="24" spans="1:14" x14ac:dyDescent="0.3">
      <c r="A24" s="13">
        <v>20</v>
      </c>
      <c r="B24" s="14" t="s">
        <v>1144</v>
      </c>
      <c r="C24" s="13" t="s">
        <v>1145</v>
      </c>
      <c r="D24" s="13" t="s">
        <v>1055</v>
      </c>
      <c r="E24" s="13" t="s">
        <v>206</v>
      </c>
      <c r="F24" s="16" t="s">
        <v>1146</v>
      </c>
      <c r="G24" s="13" t="s">
        <v>1147</v>
      </c>
      <c r="H24" s="13" t="s">
        <v>1148</v>
      </c>
      <c r="I24" s="13" t="s">
        <v>67</v>
      </c>
      <c r="J24" s="15"/>
      <c r="K24" s="15" t="s">
        <v>31</v>
      </c>
      <c r="L24" s="15"/>
      <c r="M24" s="15"/>
      <c r="N24" s="15"/>
    </row>
    <row r="25" spans="1:14" ht="26.4" x14ac:dyDescent="0.3">
      <c r="A25" s="13">
        <v>21</v>
      </c>
      <c r="B25" s="14" t="s">
        <v>1149</v>
      </c>
      <c r="C25" s="13" t="s">
        <v>1150</v>
      </c>
      <c r="D25" s="13" t="s">
        <v>196</v>
      </c>
      <c r="E25" s="13" t="s">
        <v>206</v>
      </c>
      <c r="F25" s="16" t="s">
        <v>1151</v>
      </c>
      <c r="G25" s="13" t="s">
        <v>1152</v>
      </c>
      <c r="H25" s="13" t="s">
        <v>1153</v>
      </c>
      <c r="I25" s="13" t="s">
        <v>67</v>
      </c>
      <c r="J25" s="15"/>
      <c r="K25" s="15" t="s">
        <v>31</v>
      </c>
      <c r="L25" s="15"/>
      <c r="M25" s="15"/>
      <c r="N25" s="15"/>
    </row>
  </sheetData>
  <autoFilter ref="A4:N25" xr:uid="{00000000-0009-0000-0000-00000A000000}"/>
  <conditionalFormatting sqref="K5:K25">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sqref="K5:K25" xr:uid="{00000000-0002-0000-0A00-000000000000}">
      <formula1>"Not Run,Pass,Fail,Blocked,N/A"</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22" customWidth="1"/>
    <col min="3" max="3" width="38" customWidth="1"/>
    <col min="4" max="4" width="70" customWidth="1"/>
    <col min="5" max="5" width="40" customWidth="1"/>
    <col min="6" max="6" width="12" customWidth="1"/>
    <col min="7" max="7" width="14" customWidth="1"/>
    <col min="8" max="8" width="30" customWidth="1"/>
  </cols>
  <sheetData>
    <row r="1" spans="1:8" ht="30" customHeight="1" x14ac:dyDescent="0.3">
      <c r="A1" s="6" t="s">
        <v>1154</v>
      </c>
      <c r="B1" s="6" t="s">
        <v>91</v>
      </c>
      <c r="C1" s="6" t="s">
        <v>1155</v>
      </c>
      <c r="D1" s="6" t="s">
        <v>1156</v>
      </c>
      <c r="E1" s="6" t="s">
        <v>1157</v>
      </c>
      <c r="F1" s="6" t="s">
        <v>1158</v>
      </c>
      <c r="G1" s="6" t="s">
        <v>1159</v>
      </c>
      <c r="H1" s="6" t="s">
        <v>1160</v>
      </c>
    </row>
    <row r="2" spans="1:8" ht="39.6" x14ac:dyDescent="0.3">
      <c r="A2" s="14" t="s">
        <v>1161</v>
      </c>
      <c r="B2" s="13" t="s">
        <v>44</v>
      </c>
      <c r="C2" s="13" t="s">
        <v>1162</v>
      </c>
      <c r="D2" s="13" t="s">
        <v>1163</v>
      </c>
      <c r="E2" s="13" t="s">
        <v>1164</v>
      </c>
      <c r="F2" s="13" t="s">
        <v>163</v>
      </c>
      <c r="G2" s="15"/>
      <c r="H2" s="15"/>
    </row>
    <row r="3" spans="1:8" ht="39.6" x14ac:dyDescent="0.3">
      <c r="A3" s="14" t="s">
        <v>1165</v>
      </c>
      <c r="B3" s="13" t="s">
        <v>167</v>
      </c>
      <c r="C3" s="13" t="s">
        <v>1166</v>
      </c>
      <c r="D3" s="13" t="s">
        <v>1167</v>
      </c>
      <c r="E3" s="13" t="s">
        <v>1168</v>
      </c>
      <c r="F3" s="13" t="s">
        <v>166</v>
      </c>
      <c r="G3" s="15"/>
      <c r="H3" s="15"/>
    </row>
    <row r="4" spans="1:8" ht="39.6" x14ac:dyDescent="0.3">
      <c r="A4" s="14" t="s">
        <v>1169</v>
      </c>
      <c r="B4" s="13" t="s">
        <v>44</v>
      </c>
      <c r="C4" s="13" t="s">
        <v>1170</v>
      </c>
      <c r="D4" s="13" t="s">
        <v>1171</v>
      </c>
      <c r="E4" s="13" t="s">
        <v>1172</v>
      </c>
      <c r="F4" s="13" t="s">
        <v>530</v>
      </c>
      <c r="G4" s="15"/>
      <c r="H4" s="15"/>
    </row>
    <row r="5" spans="1:8" ht="52.8" x14ac:dyDescent="0.3">
      <c r="A5" s="14" t="s">
        <v>1173</v>
      </c>
      <c r="B5" s="13" t="s">
        <v>72</v>
      </c>
      <c r="C5" s="13" t="s">
        <v>1174</v>
      </c>
      <c r="D5" s="13" t="s">
        <v>1175</v>
      </c>
      <c r="E5" s="13" t="s">
        <v>1176</v>
      </c>
      <c r="F5" s="13" t="s">
        <v>67</v>
      </c>
      <c r="G5" s="15"/>
      <c r="H5" s="15"/>
    </row>
    <row r="6" spans="1:8" ht="26.4" x14ac:dyDescent="0.3">
      <c r="A6" s="14" t="s">
        <v>1177</v>
      </c>
      <c r="B6" s="13" t="s">
        <v>72</v>
      </c>
      <c r="C6" s="13" t="s">
        <v>1178</v>
      </c>
      <c r="D6" s="13" t="s">
        <v>1179</v>
      </c>
      <c r="E6" s="13" t="s">
        <v>1180</v>
      </c>
      <c r="F6" s="13" t="s">
        <v>525</v>
      </c>
      <c r="G6" s="15"/>
      <c r="H6" s="15"/>
    </row>
    <row r="7" spans="1:8" ht="26.4" x14ac:dyDescent="0.3">
      <c r="A7" s="14" t="s">
        <v>1181</v>
      </c>
      <c r="B7" s="13" t="s">
        <v>101</v>
      </c>
      <c r="C7" s="13" t="s">
        <v>1182</v>
      </c>
      <c r="D7" s="13" t="s">
        <v>1183</v>
      </c>
      <c r="E7" s="13" t="s">
        <v>1184</v>
      </c>
      <c r="F7" s="13" t="s">
        <v>365</v>
      </c>
      <c r="G7" s="15"/>
      <c r="H7" s="15"/>
    </row>
    <row r="8" spans="1:8" ht="26.4" x14ac:dyDescent="0.3">
      <c r="A8" s="14" t="s">
        <v>1185</v>
      </c>
      <c r="B8" s="13" t="s">
        <v>97</v>
      </c>
      <c r="C8" s="13" t="s">
        <v>1186</v>
      </c>
      <c r="D8" s="13" t="s">
        <v>1187</v>
      </c>
      <c r="E8" s="13" t="s">
        <v>1188</v>
      </c>
      <c r="F8" s="13" t="s">
        <v>67</v>
      </c>
      <c r="G8" s="15"/>
      <c r="H8" s="15"/>
    </row>
    <row r="9" spans="1:8" ht="39.6" x14ac:dyDescent="0.3">
      <c r="A9" s="14" t="s">
        <v>1189</v>
      </c>
      <c r="B9" s="13" t="s">
        <v>1190</v>
      </c>
      <c r="C9" s="13" t="s">
        <v>1191</v>
      </c>
      <c r="D9" s="13" t="s">
        <v>1192</v>
      </c>
      <c r="E9" s="13" t="s">
        <v>1193</v>
      </c>
      <c r="F9" s="13" t="s">
        <v>67</v>
      </c>
      <c r="G9" s="15"/>
      <c r="H9" s="15"/>
    </row>
    <row r="11" spans="1:8" ht="45" customHeight="1" x14ac:dyDescent="0.3">
      <c r="B11" s="17" t="s">
        <v>1194</v>
      </c>
      <c r="C11" s="29" t="s">
        <v>1195</v>
      </c>
      <c r="D11" s="30"/>
      <c r="E11" s="30"/>
    </row>
  </sheetData>
  <mergeCells count="1">
    <mergeCell ref="C11:E11"/>
  </mergeCells>
  <dataValidations count="1">
    <dataValidation type="list" allowBlank="1" sqref="G2:G9" xr:uid="{00000000-0002-0000-0B00-000000000000}">
      <formula1>"Yes,No"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6"/>
  <sheetViews>
    <sheetView workbookViewId="0">
      <pane xSplit="2" ySplit="1" topLeftCell="C2" activePane="bottomRight" state="frozen"/>
      <selection pane="topRight"/>
      <selection pane="bottomLeft"/>
      <selection pane="bottomRight"/>
    </sheetView>
  </sheetViews>
  <sheetFormatPr defaultRowHeight="14.4" x14ac:dyDescent="0.3"/>
  <cols>
    <col min="1" max="1" width="6" customWidth="1"/>
    <col min="2" max="2" width="18" customWidth="1"/>
    <col min="3" max="3" width="40" customWidth="1"/>
    <col min="4" max="4" width="70" customWidth="1"/>
    <col min="5" max="5" width="44" customWidth="1"/>
    <col min="6" max="6" width="12" customWidth="1"/>
    <col min="7" max="7" width="14" customWidth="1"/>
    <col min="8" max="8" width="30" customWidth="1"/>
  </cols>
  <sheetData>
    <row r="1" spans="1:8" ht="30" customHeight="1" x14ac:dyDescent="0.3">
      <c r="A1" s="6" t="s">
        <v>1154</v>
      </c>
      <c r="B1" s="6" t="s">
        <v>1196</v>
      </c>
      <c r="C1" s="6" t="s">
        <v>1197</v>
      </c>
      <c r="D1" s="6" t="s">
        <v>1198</v>
      </c>
      <c r="E1" s="6" t="s">
        <v>1199</v>
      </c>
      <c r="F1" s="6" t="s">
        <v>1200</v>
      </c>
      <c r="G1" s="6" t="s">
        <v>1159</v>
      </c>
      <c r="H1" s="6" t="s">
        <v>1160</v>
      </c>
    </row>
    <row r="2" spans="1:8" ht="39.6" x14ac:dyDescent="0.3">
      <c r="A2" s="14" t="s">
        <v>1201</v>
      </c>
      <c r="B2" s="13" t="s">
        <v>536</v>
      </c>
      <c r="C2" s="13" t="s">
        <v>1202</v>
      </c>
      <c r="D2" s="13" t="s">
        <v>1203</v>
      </c>
      <c r="E2" s="13" t="s">
        <v>1204</v>
      </c>
      <c r="F2" s="13" t="s">
        <v>555</v>
      </c>
      <c r="G2" s="15"/>
      <c r="H2" s="15"/>
    </row>
    <row r="3" spans="1:8" ht="26.4" x14ac:dyDescent="0.3">
      <c r="A3" s="14" t="s">
        <v>1205</v>
      </c>
      <c r="B3" s="13" t="s">
        <v>1206</v>
      </c>
      <c r="C3" s="13" t="s">
        <v>1207</v>
      </c>
      <c r="D3" s="13" t="s">
        <v>1208</v>
      </c>
      <c r="E3" s="13" t="s">
        <v>1209</v>
      </c>
      <c r="F3" s="13" t="s">
        <v>874</v>
      </c>
      <c r="G3" s="15"/>
      <c r="H3" s="15"/>
    </row>
    <row r="4" spans="1:8" ht="26.4" x14ac:dyDescent="0.3">
      <c r="A4" s="14" t="s">
        <v>1210</v>
      </c>
      <c r="B4" s="13" t="s">
        <v>1206</v>
      </c>
      <c r="C4" s="13" t="s">
        <v>1211</v>
      </c>
      <c r="D4" s="13" t="s">
        <v>1212</v>
      </c>
      <c r="E4" s="13" t="s">
        <v>1213</v>
      </c>
      <c r="F4" s="13" t="s">
        <v>869</v>
      </c>
      <c r="G4" s="15"/>
      <c r="H4" s="15"/>
    </row>
    <row r="5" spans="1:8" ht="26.4" x14ac:dyDescent="0.3">
      <c r="A5" s="14" t="s">
        <v>1214</v>
      </c>
      <c r="B5" s="13" t="s">
        <v>1206</v>
      </c>
      <c r="C5" s="13" t="s">
        <v>1215</v>
      </c>
      <c r="D5" s="13" t="s">
        <v>1216</v>
      </c>
      <c r="E5" s="13" t="s">
        <v>1217</v>
      </c>
      <c r="F5" s="13" t="s">
        <v>864</v>
      </c>
      <c r="G5" s="15"/>
      <c r="H5" s="15"/>
    </row>
    <row r="6" spans="1:8" ht="26.4" x14ac:dyDescent="0.3">
      <c r="A6" s="14" t="s">
        <v>1218</v>
      </c>
      <c r="B6" s="13" t="s">
        <v>1206</v>
      </c>
      <c r="C6" s="13" t="s">
        <v>1219</v>
      </c>
      <c r="D6" s="13" t="s">
        <v>1220</v>
      </c>
      <c r="E6" s="13" t="s">
        <v>1209</v>
      </c>
      <c r="F6" s="13" t="s">
        <v>952</v>
      </c>
      <c r="G6" s="15"/>
      <c r="H6" s="15"/>
    </row>
    <row r="7" spans="1:8" ht="26.4" x14ac:dyDescent="0.3">
      <c r="A7" s="14" t="s">
        <v>1221</v>
      </c>
      <c r="B7" s="13" t="s">
        <v>1206</v>
      </c>
      <c r="C7" s="13" t="s">
        <v>1222</v>
      </c>
      <c r="D7" s="13" t="s">
        <v>1223</v>
      </c>
      <c r="E7" s="13" t="s">
        <v>1224</v>
      </c>
      <c r="F7" s="13" t="s">
        <v>898</v>
      </c>
      <c r="G7" s="15"/>
      <c r="H7" s="15"/>
    </row>
    <row r="8" spans="1:8" ht="26.4" x14ac:dyDescent="0.3">
      <c r="A8" s="14" t="s">
        <v>1225</v>
      </c>
      <c r="B8" s="13" t="s">
        <v>1206</v>
      </c>
      <c r="C8" s="13" t="s">
        <v>1226</v>
      </c>
      <c r="D8" s="13" t="s">
        <v>1227</v>
      </c>
      <c r="E8" s="13" t="s">
        <v>1228</v>
      </c>
      <c r="F8" s="13" t="s">
        <v>904</v>
      </c>
      <c r="G8" s="15"/>
      <c r="H8" s="15"/>
    </row>
    <row r="9" spans="1:8" ht="26.4" x14ac:dyDescent="0.3">
      <c r="A9" s="14" t="s">
        <v>1229</v>
      </c>
      <c r="B9" s="13" t="s">
        <v>1206</v>
      </c>
      <c r="C9" s="13" t="s">
        <v>1230</v>
      </c>
      <c r="D9" s="13" t="s">
        <v>1231</v>
      </c>
      <c r="E9" s="13" t="s">
        <v>1232</v>
      </c>
      <c r="F9" s="13" t="s">
        <v>858</v>
      </c>
      <c r="G9" s="15"/>
      <c r="H9" s="15"/>
    </row>
    <row r="10" spans="1:8" ht="26.4" x14ac:dyDescent="0.3">
      <c r="A10" s="14" t="s">
        <v>1233</v>
      </c>
      <c r="B10" s="13" t="s">
        <v>1206</v>
      </c>
      <c r="C10" s="13" t="s">
        <v>1234</v>
      </c>
      <c r="D10" s="13" t="s">
        <v>1235</v>
      </c>
      <c r="E10" s="13" t="s">
        <v>1236</v>
      </c>
      <c r="F10" s="13" t="s">
        <v>946</v>
      </c>
      <c r="G10" s="15"/>
      <c r="H10" s="15"/>
    </row>
    <row r="11" spans="1:8" ht="26.4" x14ac:dyDescent="0.3">
      <c r="A11" s="14" t="s">
        <v>1237</v>
      </c>
      <c r="B11" s="13" t="s">
        <v>1206</v>
      </c>
      <c r="C11" s="13" t="s">
        <v>1238</v>
      </c>
      <c r="D11" s="13" t="s">
        <v>1239</v>
      </c>
      <c r="E11" s="13" t="s">
        <v>1240</v>
      </c>
      <c r="F11" s="13" t="s">
        <v>824</v>
      </c>
      <c r="G11" s="15"/>
      <c r="H11" s="15"/>
    </row>
    <row r="12" spans="1:8" ht="26.4" x14ac:dyDescent="0.3">
      <c r="A12" s="14" t="s">
        <v>1241</v>
      </c>
      <c r="B12" s="13" t="s">
        <v>1206</v>
      </c>
      <c r="C12" s="13" t="s">
        <v>1242</v>
      </c>
      <c r="D12" s="13" t="s">
        <v>1243</v>
      </c>
      <c r="E12" s="13" t="s">
        <v>1244</v>
      </c>
      <c r="F12" s="13" t="s">
        <v>828</v>
      </c>
      <c r="G12" s="15"/>
      <c r="H12" s="15"/>
    </row>
    <row r="13" spans="1:8" ht="26.4" x14ac:dyDescent="0.3">
      <c r="A13" s="14" t="s">
        <v>1245</v>
      </c>
      <c r="B13" s="13" t="s">
        <v>1206</v>
      </c>
      <c r="C13" s="13" t="s">
        <v>1246</v>
      </c>
      <c r="D13" s="13" t="s">
        <v>1247</v>
      </c>
      <c r="E13" s="13" t="s">
        <v>1248</v>
      </c>
      <c r="F13" s="13" t="s">
        <v>968</v>
      </c>
      <c r="G13" s="15"/>
      <c r="H13" s="15"/>
    </row>
    <row r="14" spans="1:8" ht="26.4" x14ac:dyDescent="0.3">
      <c r="A14" s="14" t="s">
        <v>1249</v>
      </c>
      <c r="B14" s="13" t="s">
        <v>618</v>
      </c>
      <c r="C14" s="13" t="s">
        <v>1250</v>
      </c>
      <c r="D14" s="13" t="s">
        <v>1251</v>
      </c>
      <c r="E14" s="13" t="s">
        <v>1252</v>
      </c>
      <c r="F14" s="13" t="s">
        <v>705</v>
      </c>
      <c r="G14" s="15"/>
      <c r="H14" s="15"/>
    </row>
    <row r="15" spans="1:8" ht="26.4" x14ac:dyDescent="0.3">
      <c r="A15" s="14" t="s">
        <v>1253</v>
      </c>
      <c r="B15" s="13" t="s">
        <v>618</v>
      </c>
      <c r="C15" s="13" t="s">
        <v>1254</v>
      </c>
      <c r="D15" s="13" t="s">
        <v>1255</v>
      </c>
      <c r="E15" s="13" t="s">
        <v>1256</v>
      </c>
      <c r="F15" s="13" t="s">
        <v>728</v>
      </c>
      <c r="G15" s="15"/>
      <c r="H15" s="15"/>
    </row>
    <row r="16" spans="1:8" ht="26.4" x14ac:dyDescent="0.3">
      <c r="A16" s="14" t="s">
        <v>1257</v>
      </c>
      <c r="B16" s="13" t="s">
        <v>618</v>
      </c>
      <c r="C16" s="13" t="s">
        <v>1258</v>
      </c>
      <c r="D16" s="13" t="s">
        <v>1259</v>
      </c>
      <c r="E16" s="13" t="s">
        <v>1260</v>
      </c>
      <c r="F16" s="13" t="s">
        <v>760</v>
      </c>
      <c r="G16" s="15"/>
      <c r="H16" s="15"/>
    </row>
    <row r="17" spans="1:8" ht="26.4" x14ac:dyDescent="0.3">
      <c r="A17" s="14" t="s">
        <v>1261</v>
      </c>
      <c r="B17" s="13" t="s">
        <v>1262</v>
      </c>
      <c r="C17" s="13" t="s">
        <v>1263</v>
      </c>
      <c r="D17" s="13" t="s">
        <v>1264</v>
      </c>
      <c r="E17" s="13" t="s">
        <v>1265</v>
      </c>
      <c r="F17" s="13" t="s">
        <v>417</v>
      </c>
      <c r="G17" s="15"/>
      <c r="H17" s="15"/>
    </row>
    <row r="18" spans="1:8" ht="26.4" x14ac:dyDescent="0.3">
      <c r="A18" s="14" t="s">
        <v>1266</v>
      </c>
      <c r="B18" s="13" t="s">
        <v>216</v>
      </c>
      <c r="C18" s="13" t="s">
        <v>1267</v>
      </c>
      <c r="D18" s="13" t="s">
        <v>1268</v>
      </c>
      <c r="E18" s="13" t="s">
        <v>1269</v>
      </c>
      <c r="F18" s="13" t="s">
        <v>370</v>
      </c>
      <c r="G18" s="15"/>
      <c r="H18" s="15"/>
    </row>
    <row r="19" spans="1:8" ht="26.4" x14ac:dyDescent="0.3">
      <c r="A19" s="14" t="s">
        <v>1270</v>
      </c>
      <c r="B19" s="13" t="s">
        <v>216</v>
      </c>
      <c r="C19" s="13" t="s">
        <v>1271</v>
      </c>
      <c r="D19" s="13" t="s">
        <v>1272</v>
      </c>
      <c r="E19" s="13" t="s">
        <v>1273</v>
      </c>
      <c r="F19" s="13" t="s">
        <v>297</v>
      </c>
      <c r="G19" s="15"/>
      <c r="H19" s="15"/>
    </row>
    <row r="20" spans="1:8" ht="26.4" x14ac:dyDescent="0.3">
      <c r="A20" s="14" t="s">
        <v>1274</v>
      </c>
      <c r="B20" s="13" t="s">
        <v>1275</v>
      </c>
      <c r="C20" s="13" t="s">
        <v>1276</v>
      </c>
      <c r="D20" s="13" t="s">
        <v>1277</v>
      </c>
      <c r="E20" s="13" t="s">
        <v>1278</v>
      </c>
      <c r="F20" s="13" t="s">
        <v>981</v>
      </c>
      <c r="G20" s="15"/>
      <c r="H20" s="15"/>
    </row>
    <row r="21" spans="1:8" ht="26.4" x14ac:dyDescent="0.3">
      <c r="A21" s="14" t="s">
        <v>1279</v>
      </c>
      <c r="B21" s="13" t="s">
        <v>1280</v>
      </c>
      <c r="C21" s="13" t="s">
        <v>1281</v>
      </c>
      <c r="D21" s="13" t="s">
        <v>1282</v>
      </c>
      <c r="E21" s="13" t="s">
        <v>1283</v>
      </c>
      <c r="F21" s="13" t="s">
        <v>1046</v>
      </c>
      <c r="G21" s="15"/>
      <c r="H21" s="15"/>
    </row>
    <row r="22" spans="1:8" ht="39.6" x14ac:dyDescent="0.3">
      <c r="A22" s="14" t="s">
        <v>1284</v>
      </c>
      <c r="B22" s="13" t="s">
        <v>1285</v>
      </c>
      <c r="C22" s="13" t="s">
        <v>1286</v>
      </c>
      <c r="D22" s="13" t="s">
        <v>1287</v>
      </c>
      <c r="E22" s="13" t="s">
        <v>1288</v>
      </c>
      <c r="F22" s="13" t="s">
        <v>180</v>
      </c>
      <c r="G22" s="15"/>
      <c r="H22" s="15"/>
    </row>
    <row r="23" spans="1:8" ht="26.4" x14ac:dyDescent="0.3">
      <c r="A23" s="14" t="s">
        <v>1289</v>
      </c>
      <c r="B23" s="13" t="s">
        <v>1285</v>
      </c>
      <c r="C23" s="13" t="s">
        <v>1290</v>
      </c>
      <c r="D23" s="13" t="s">
        <v>1291</v>
      </c>
      <c r="E23" s="13" t="s">
        <v>1292</v>
      </c>
      <c r="F23" s="13" t="s">
        <v>1100</v>
      </c>
      <c r="G23" s="15"/>
      <c r="H23" s="15"/>
    </row>
    <row r="24" spans="1:8" ht="26.4" x14ac:dyDescent="0.3">
      <c r="A24" s="14" t="s">
        <v>1293</v>
      </c>
      <c r="B24" s="13" t="s">
        <v>618</v>
      </c>
      <c r="C24" s="13" t="s">
        <v>1294</v>
      </c>
      <c r="D24" s="13" t="s">
        <v>1295</v>
      </c>
      <c r="E24" s="13" t="s">
        <v>1296</v>
      </c>
      <c r="F24" s="13" t="s">
        <v>733</v>
      </c>
      <c r="G24" s="15"/>
      <c r="H24" s="15"/>
    </row>
    <row r="26" spans="1:8" ht="45" customHeight="1" x14ac:dyDescent="0.3">
      <c r="B26" s="17" t="s">
        <v>1194</v>
      </c>
      <c r="C26" s="29" t="s">
        <v>1297</v>
      </c>
      <c r="D26" s="30"/>
      <c r="E26" s="30"/>
    </row>
  </sheetData>
  <mergeCells count="1">
    <mergeCell ref="C26:E26"/>
  </mergeCells>
  <dataValidations count="1">
    <dataValidation type="list" allowBlank="1" sqref="G2:G24" xr:uid="{00000000-0002-0000-0C00-000000000000}">
      <formula1>"Yes,No"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61"/>
  <sheetViews>
    <sheetView workbookViewId="0">
      <pane ySplit="1" topLeftCell="A2" activePane="bottomLeft" state="frozen"/>
      <selection pane="bottomLeft"/>
    </sheetView>
  </sheetViews>
  <sheetFormatPr defaultRowHeight="14.4" x14ac:dyDescent="0.3"/>
  <cols>
    <col min="1" max="1" width="9" customWidth="1"/>
    <col min="2" max="2" width="13" customWidth="1"/>
    <col min="3" max="3" width="10" customWidth="1"/>
    <col min="4" max="4" width="20" customWidth="1"/>
    <col min="5" max="5" width="34" customWidth="1"/>
    <col min="6" max="6" width="44" customWidth="1"/>
    <col min="7" max="8" width="34" customWidth="1"/>
    <col min="9" max="10" width="11" customWidth="1"/>
    <col min="11" max="11" width="28" customWidth="1"/>
    <col min="12" max="12" width="18" customWidth="1"/>
  </cols>
  <sheetData>
    <row r="1" spans="1:12" ht="30" customHeight="1" x14ac:dyDescent="0.3">
      <c r="A1" s="6" t="s">
        <v>1298</v>
      </c>
      <c r="B1" s="6" t="s">
        <v>1299</v>
      </c>
      <c r="C1" s="6" t="s">
        <v>1300</v>
      </c>
      <c r="D1" s="6" t="s">
        <v>1301</v>
      </c>
      <c r="E1" s="6" t="s">
        <v>1302</v>
      </c>
      <c r="F1" s="6" t="s">
        <v>1303</v>
      </c>
      <c r="G1" s="6" t="s">
        <v>1304</v>
      </c>
      <c r="H1" s="6" t="s">
        <v>1305</v>
      </c>
      <c r="I1" s="6" t="s">
        <v>1306</v>
      </c>
      <c r="J1" s="6" t="s">
        <v>49</v>
      </c>
      <c r="K1" s="6" t="s">
        <v>1307</v>
      </c>
      <c r="L1" s="6" t="s">
        <v>1308</v>
      </c>
    </row>
    <row r="2" spans="1:12" ht="52.8" x14ac:dyDescent="0.3">
      <c r="A2" s="18" t="s">
        <v>1309</v>
      </c>
      <c r="B2" s="18" t="s">
        <v>1310</v>
      </c>
      <c r="C2" s="18" t="s">
        <v>555</v>
      </c>
      <c r="D2" s="18" t="s">
        <v>536</v>
      </c>
      <c r="E2" s="18" t="s">
        <v>1311</v>
      </c>
      <c r="F2" s="18" t="s">
        <v>1312</v>
      </c>
      <c r="G2" s="18" t="s">
        <v>1313</v>
      </c>
      <c r="H2" s="18" t="s">
        <v>1314</v>
      </c>
      <c r="I2" s="18" t="s">
        <v>156</v>
      </c>
      <c r="J2" s="18" t="s">
        <v>1315</v>
      </c>
      <c r="K2" s="18" t="s">
        <v>1316</v>
      </c>
      <c r="L2" s="18"/>
    </row>
    <row r="3" spans="1:12" x14ac:dyDescent="0.3">
      <c r="A3" s="15"/>
      <c r="B3" s="15"/>
      <c r="C3" s="15"/>
      <c r="D3" s="15"/>
      <c r="E3" s="15"/>
      <c r="F3" s="15"/>
      <c r="G3" s="15"/>
      <c r="H3" s="15"/>
      <c r="I3" s="15"/>
      <c r="J3" s="15"/>
      <c r="K3" s="15"/>
      <c r="L3" s="15"/>
    </row>
    <row r="4" spans="1:12" x14ac:dyDescent="0.3">
      <c r="A4" s="15"/>
      <c r="B4" s="15"/>
      <c r="C4" s="15"/>
      <c r="D4" s="15"/>
      <c r="E4" s="15"/>
      <c r="F4" s="15"/>
      <c r="G4" s="15"/>
      <c r="H4" s="15"/>
      <c r="I4" s="15"/>
      <c r="J4" s="15"/>
      <c r="K4" s="15"/>
      <c r="L4" s="15"/>
    </row>
    <row r="5" spans="1:12" x14ac:dyDescent="0.3">
      <c r="A5" s="15"/>
      <c r="B5" s="15"/>
      <c r="C5" s="15"/>
      <c r="D5" s="15"/>
      <c r="E5" s="15"/>
      <c r="F5" s="15"/>
      <c r="G5" s="15"/>
      <c r="H5" s="15"/>
      <c r="I5" s="15"/>
      <c r="J5" s="15"/>
      <c r="K5" s="15"/>
      <c r="L5" s="15"/>
    </row>
    <row r="6" spans="1:12" x14ac:dyDescent="0.3">
      <c r="A6" s="15"/>
      <c r="B6" s="15"/>
      <c r="C6" s="15"/>
      <c r="D6" s="15"/>
      <c r="E6" s="15"/>
      <c r="F6" s="15"/>
      <c r="G6" s="15"/>
      <c r="H6" s="15"/>
      <c r="I6" s="15"/>
      <c r="J6" s="15"/>
      <c r="K6" s="15"/>
      <c r="L6" s="15"/>
    </row>
    <row r="7" spans="1:12" x14ac:dyDescent="0.3">
      <c r="A7" s="15"/>
      <c r="B7" s="15"/>
      <c r="C7" s="15"/>
      <c r="D7" s="15"/>
      <c r="E7" s="15"/>
      <c r="F7" s="15"/>
      <c r="G7" s="15"/>
      <c r="H7" s="15"/>
      <c r="I7" s="15"/>
      <c r="J7" s="15"/>
      <c r="K7" s="15"/>
      <c r="L7" s="15"/>
    </row>
    <row r="8" spans="1:12" x14ac:dyDescent="0.3">
      <c r="A8" s="15"/>
      <c r="B8" s="15"/>
      <c r="C8" s="15"/>
      <c r="D8" s="15"/>
      <c r="E8" s="15"/>
      <c r="F8" s="15"/>
      <c r="G8" s="15"/>
      <c r="H8" s="15"/>
      <c r="I8" s="15"/>
      <c r="J8" s="15"/>
      <c r="K8" s="15"/>
      <c r="L8" s="15"/>
    </row>
    <row r="9" spans="1:12" x14ac:dyDescent="0.3">
      <c r="A9" s="15"/>
      <c r="B9" s="15"/>
      <c r="C9" s="15"/>
      <c r="D9" s="15"/>
      <c r="E9" s="15"/>
      <c r="F9" s="15"/>
      <c r="G9" s="15"/>
      <c r="H9" s="15"/>
      <c r="I9" s="15"/>
      <c r="J9" s="15"/>
      <c r="K9" s="15"/>
      <c r="L9" s="15"/>
    </row>
    <row r="10" spans="1:12" x14ac:dyDescent="0.3">
      <c r="A10" s="15"/>
      <c r="B10" s="15"/>
      <c r="C10" s="15"/>
      <c r="D10" s="15"/>
      <c r="E10" s="15"/>
      <c r="F10" s="15"/>
      <c r="G10" s="15"/>
      <c r="H10" s="15"/>
      <c r="I10" s="15"/>
      <c r="J10" s="15"/>
      <c r="K10" s="15"/>
      <c r="L10" s="15"/>
    </row>
    <row r="11" spans="1:12" x14ac:dyDescent="0.3">
      <c r="A11" s="15"/>
      <c r="B11" s="15"/>
      <c r="C11" s="15"/>
      <c r="D11" s="15"/>
      <c r="E11" s="15"/>
      <c r="F11" s="15"/>
      <c r="G11" s="15"/>
      <c r="H11" s="15"/>
      <c r="I11" s="15"/>
      <c r="J11" s="15"/>
      <c r="K11" s="15"/>
      <c r="L11" s="15"/>
    </row>
    <row r="12" spans="1:12" x14ac:dyDescent="0.3">
      <c r="A12" s="15"/>
      <c r="B12" s="15"/>
      <c r="C12" s="15"/>
      <c r="D12" s="15"/>
      <c r="E12" s="15"/>
      <c r="F12" s="15"/>
      <c r="G12" s="15"/>
      <c r="H12" s="15"/>
      <c r="I12" s="15"/>
      <c r="J12" s="15"/>
      <c r="K12" s="15"/>
      <c r="L12" s="15"/>
    </row>
    <row r="13" spans="1:12" x14ac:dyDescent="0.3">
      <c r="A13" s="15"/>
      <c r="B13" s="15"/>
      <c r="C13" s="15"/>
      <c r="D13" s="15"/>
      <c r="E13" s="15"/>
      <c r="F13" s="15"/>
      <c r="G13" s="15"/>
      <c r="H13" s="15"/>
      <c r="I13" s="15"/>
      <c r="J13" s="15"/>
      <c r="K13" s="15"/>
      <c r="L13" s="15"/>
    </row>
    <row r="14" spans="1:12" x14ac:dyDescent="0.3">
      <c r="A14" s="15"/>
      <c r="B14" s="15"/>
      <c r="C14" s="15"/>
      <c r="D14" s="15"/>
      <c r="E14" s="15"/>
      <c r="F14" s="15"/>
      <c r="G14" s="15"/>
      <c r="H14" s="15"/>
      <c r="I14" s="15"/>
      <c r="J14" s="15"/>
      <c r="K14" s="15"/>
      <c r="L14" s="15"/>
    </row>
    <row r="15" spans="1:12" x14ac:dyDescent="0.3">
      <c r="A15" s="15"/>
      <c r="B15" s="15"/>
      <c r="C15" s="15"/>
      <c r="D15" s="15"/>
      <c r="E15" s="15"/>
      <c r="F15" s="15"/>
      <c r="G15" s="15"/>
      <c r="H15" s="15"/>
      <c r="I15" s="15"/>
      <c r="J15" s="15"/>
      <c r="K15" s="15"/>
      <c r="L15" s="15"/>
    </row>
    <row r="16" spans="1:12" x14ac:dyDescent="0.3">
      <c r="A16" s="15"/>
      <c r="B16" s="15"/>
      <c r="C16" s="15"/>
      <c r="D16" s="15"/>
      <c r="E16" s="15"/>
      <c r="F16" s="15"/>
      <c r="G16" s="15"/>
      <c r="H16" s="15"/>
      <c r="I16" s="15"/>
      <c r="J16" s="15"/>
      <c r="K16" s="15"/>
      <c r="L16" s="15"/>
    </row>
    <row r="17" spans="1:12" x14ac:dyDescent="0.3">
      <c r="A17" s="15"/>
      <c r="B17" s="15"/>
      <c r="C17" s="15"/>
      <c r="D17" s="15"/>
      <c r="E17" s="15"/>
      <c r="F17" s="15"/>
      <c r="G17" s="15"/>
      <c r="H17" s="15"/>
      <c r="I17" s="15"/>
      <c r="J17" s="15"/>
      <c r="K17" s="15"/>
      <c r="L17" s="15"/>
    </row>
    <row r="18" spans="1:12" x14ac:dyDescent="0.3">
      <c r="A18" s="15"/>
      <c r="B18" s="15"/>
      <c r="C18" s="15"/>
      <c r="D18" s="15"/>
      <c r="E18" s="15"/>
      <c r="F18" s="15"/>
      <c r="G18" s="15"/>
      <c r="H18" s="15"/>
      <c r="I18" s="15"/>
      <c r="J18" s="15"/>
      <c r="K18" s="15"/>
      <c r="L18" s="15"/>
    </row>
    <row r="19" spans="1:12" x14ac:dyDescent="0.3">
      <c r="A19" s="15"/>
      <c r="B19" s="15"/>
      <c r="C19" s="15"/>
      <c r="D19" s="15"/>
      <c r="E19" s="15"/>
      <c r="F19" s="15"/>
      <c r="G19" s="15"/>
      <c r="H19" s="15"/>
      <c r="I19" s="15"/>
      <c r="J19" s="15"/>
      <c r="K19" s="15"/>
      <c r="L19" s="15"/>
    </row>
    <row r="20" spans="1:12" x14ac:dyDescent="0.3">
      <c r="A20" s="15"/>
      <c r="B20" s="15"/>
      <c r="C20" s="15"/>
      <c r="D20" s="15"/>
      <c r="E20" s="15"/>
      <c r="F20" s="15"/>
      <c r="G20" s="15"/>
      <c r="H20" s="15"/>
      <c r="I20" s="15"/>
      <c r="J20" s="15"/>
      <c r="K20" s="15"/>
      <c r="L20" s="15"/>
    </row>
    <row r="21" spans="1:12" x14ac:dyDescent="0.3">
      <c r="A21" s="15"/>
      <c r="B21" s="15"/>
      <c r="C21" s="15"/>
      <c r="D21" s="15"/>
      <c r="E21" s="15"/>
      <c r="F21" s="15"/>
      <c r="G21" s="15"/>
      <c r="H21" s="15"/>
      <c r="I21" s="15"/>
      <c r="J21" s="15"/>
      <c r="K21" s="15"/>
      <c r="L21" s="15"/>
    </row>
    <row r="22" spans="1:12" x14ac:dyDescent="0.3">
      <c r="A22" s="15"/>
      <c r="B22" s="15"/>
      <c r="C22" s="15"/>
      <c r="D22" s="15"/>
      <c r="E22" s="15"/>
      <c r="F22" s="15"/>
      <c r="G22" s="15"/>
      <c r="H22" s="15"/>
      <c r="I22" s="15"/>
      <c r="J22" s="15"/>
      <c r="K22" s="15"/>
      <c r="L22" s="15"/>
    </row>
    <row r="23" spans="1:12" x14ac:dyDescent="0.3">
      <c r="A23" s="15"/>
      <c r="B23" s="15"/>
      <c r="C23" s="15"/>
      <c r="D23" s="15"/>
      <c r="E23" s="15"/>
      <c r="F23" s="15"/>
      <c r="G23" s="15"/>
      <c r="H23" s="15"/>
      <c r="I23" s="15"/>
      <c r="J23" s="15"/>
      <c r="K23" s="15"/>
      <c r="L23" s="15"/>
    </row>
    <row r="24" spans="1:12" x14ac:dyDescent="0.3">
      <c r="A24" s="15"/>
      <c r="B24" s="15"/>
      <c r="C24" s="15"/>
      <c r="D24" s="15"/>
      <c r="E24" s="15"/>
      <c r="F24" s="15"/>
      <c r="G24" s="15"/>
      <c r="H24" s="15"/>
      <c r="I24" s="15"/>
      <c r="J24" s="15"/>
      <c r="K24" s="15"/>
      <c r="L24" s="15"/>
    </row>
    <row r="25" spans="1:12" x14ac:dyDescent="0.3">
      <c r="A25" s="15"/>
      <c r="B25" s="15"/>
      <c r="C25" s="15"/>
      <c r="D25" s="15"/>
      <c r="E25" s="15"/>
      <c r="F25" s="15"/>
      <c r="G25" s="15"/>
      <c r="H25" s="15"/>
      <c r="I25" s="15"/>
      <c r="J25" s="15"/>
      <c r="K25" s="15"/>
      <c r="L25" s="15"/>
    </row>
    <row r="26" spans="1:12" x14ac:dyDescent="0.3">
      <c r="A26" s="15"/>
      <c r="B26" s="15"/>
      <c r="C26" s="15"/>
      <c r="D26" s="15"/>
      <c r="E26" s="15"/>
      <c r="F26" s="15"/>
      <c r="G26" s="15"/>
      <c r="H26" s="15"/>
      <c r="I26" s="15"/>
      <c r="J26" s="15"/>
      <c r="K26" s="15"/>
      <c r="L26" s="15"/>
    </row>
    <row r="27" spans="1:12" x14ac:dyDescent="0.3">
      <c r="A27" s="15"/>
      <c r="B27" s="15"/>
      <c r="C27" s="15"/>
      <c r="D27" s="15"/>
      <c r="E27" s="15"/>
      <c r="F27" s="15"/>
      <c r="G27" s="15"/>
      <c r="H27" s="15"/>
      <c r="I27" s="15"/>
      <c r="J27" s="15"/>
      <c r="K27" s="15"/>
      <c r="L27" s="15"/>
    </row>
    <row r="28" spans="1:12" x14ac:dyDescent="0.3">
      <c r="A28" s="15"/>
      <c r="B28" s="15"/>
      <c r="C28" s="15"/>
      <c r="D28" s="15"/>
      <c r="E28" s="15"/>
      <c r="F28" s="15"/>
      <c r="G28" s="15"/>
      <c r="H28" s="15"/>
      <c r="I28" s="15"/>
      <c r="J28" s="15"/>
      <c r="K28" s="15"/>
      <c r="L28" s="15"/>
    </row>
    <row r="29" spans="1:12" x14ac:dyDescent="0.3">
      <c r="A29" s="15"/>
      <c r="B29" s="15"/>
      <c r="C29" s="15"/>
      <c r="D29" s="15"/>
      <c r="E29" s="15"/>
      <c r="F29" s="15"/>
      <c r="G29" s="15"/>
      <c r="H29" s="15"/>
      <c r="I29" s="15"/>
      <c r="J29" s="15"/>
      <c r="K29" s="15"/>
      <c r="L29" s="15"/>
    </row>
    <row r="30" spans="1:12" x14ac:dyDescent="0.3">
      <c r="A30" s="15"/>
      <c r="B30" s="15"/>
      <c r="C30" s="15"/>
      <c r="D30" s="15"/>
      <c r="E30" s="15"/>
      <c r="F30" s="15"/>
      <c r="G30" s="15"/>
      <c r="H30" s="15"/>
      <c r="I30" s="15"/>
      <c r="J30" s="15"/>
      <c r="K30" s="15"/>
      <c r="L30" s="15"/>
    </row>
    <row r="31" spans="1:12" x14ac:dyDescent="0.3">
      <c r="A31" s="15"/>
      <c r="B31" s="15"/>
      <c r="C31" s="15"/>
      <c r="D31" s="15"/>
      <c r="E31" s="15"/>
      <c r="F31" s="15"/>
      <c r="G31" s="15"/>
      <c r="H31" s="15"/>
      <c r="I31" s="15"/>
      <c r="J31" s="15"/>
      <c r="K31" s="15"/>
      <c r="L31" s="15"/>
    </row>
    <row r="32" spans="1:12" x14ac:dyDescent="0.3">
      <c r="A32" s="15"/>
      <c r="B32" s="15"/>
      <c r="C32" s="15"/>
      <c r="D32" s="15"/>
      <c r="E32" s="15"/>
      <c r="F32" s="15"/>
      <c r="G32" s="15"/>
      <c r="H32" s="15"/>
      <c r="I32" s="15"/>
      <c r="J32" s="15"/>
      <c r="K32" s="15"/>
      <c r="L32" s="15"/>
    </row>
    <row r="33" spans="1:12" x14ac:dyDescent="0.3">
      <c r="A33" s="15"/>
      <c r="B33" s="15"/>
      <c r="C33" s="15"/>
      <c r="D33" s="15"/>
      <c r="E33" s="15"/>
      <c r="F33" s="15"/>
      <c r="G33" s="15"/>
      <c r="H33" s="15"/>
      <c r="I33" s="15"/>
      <c r="J33" s="15"/>
      <c r="K33" s="15"/>
      <c r="L33" s="15"/>
    </row>
    <row r="34" spans="1:12" x14ac:dyDescent="0.3">
      <c r="A34" s="15"/>
      <c r="B34" s="15"/>
      <c r="C34" s="15"/>
      <c r="D34" s="15"/>
      <c r="E34" s="15"/>
      <c r="F34" s="15"/>
      <c r="G34" s="15"/>
      <c r="H34" s="15"/>
      <c r="I34" s="15"/>
      <c r="J34" s="15"/>
      <c r="K34" s="15"/>
      <c r="L34" s="15"/>
    </row>
    <row r="35" spans="1:12" x14ac:dyDescent="0.3">
      <c r="A35" s="15"/>
      <c r="B35" s="15"/>
      <c r="C35" s="15"/>
      <c r="D35" s="15"/>
      <c r="E35" s="15"/>
      <c r="F35" s="15"/>
      <c r="G35" s="15"/>
      <c r="H35" s="15"/>
      <c r="I35" s="15"/>
      <c r="J35" s="15"/>
      <c r="K35" s="15"/>
      <c r="L35" s="15"/>
    </row>
    <row r="36" spans="1:12" x14ac:dyDescent="0.3">
      <c r="A36" s="15"/>
      <c r="B36" s="15"/>
      <c r="C36" s="15"/>
      <c r="D36" s="15"/>
      <c r="E36" s="15"/>
      <c r="F36" s="15"/>
      <c r="G36" s="15"/>
      <c r="H36" s="15"/>
      <c r="I36" s="15"/>
      <c r="J36" s="15"/>
      <c r="K36" s="15"/>
      <c r="L36" s="15"/>
    </row>
    <row r="37" spans="1:12" x14ac:dyDescent="0.3">
      <c r="A37" s="15"/>
      <c r="B37" s="15"/>
      <c r="C37" s="15"/>
      <c r="D37" s="15"/>
      <c r="E37" s="15"/>
      <c r="F37" s="15"/>
      <c r="G37" s="15"/>
      <c r="H37" s="15"/>
      <c r="I37" s="15"/>
      <c r="J37" s="15"/>
      <c r="K37" s="15"/>
      <c r="L37" s="15"/>
    </row>
    <row r="38" spans="1:12" x14ac:dyDescent="0.3">
      <c r="A38" s="15"/>
      <c r="B38" s="15"/>
      <c r="C38" s="15"/>
      <c r="D38" s="15"/>
      <c r="E38" s="15"/>
      <c r="F38" s="15"/>
      <c r="G38" s="15"/>
      <c r="H38" s="15"/>
      <c r="I38" s="15"/>
      <c r="J38" s="15"/>
      <c r="K38" s="15"/>
      <c r="L38" s="15"/>
    </row>
    <row r="39" spans="1:12" x14ac:dyDescent="0.3">
      <c r="A39" s="15"/>
      <c r="B39" s="15"/>
      <c r="C39" s="15"/>
      <c r="D39" s="15"/>
      <c r="E39" s="15"/>
      <c r="F39" s="15"/>
      <c r="G39" s="15"/>
      <c r="H39" s="15"/>
      <c r="I39" s="15"/>
      <c r="J39" s="15"/>
      <c r="K39" s="15"/>
      <c r="L39" s="15"/>
    </row>
    <row r="40" spans="1:12" x14ac:dyDescent="0.3">
      <c r="A40" s="15"/>
      <c r="B40" s="15"/>
      <c r="C40" s="15"/>
      <c r="D40" s="15"/>
      <c r="E40" s="15"/>
      <c r="F40" s="15"/>
      <c r="G40" s="15"/>
      <c r="H40" s="15"/>
      <c r="I40" s="15"/>
      <c r="J40" s="15"/>
      <c r="K40" s="15"/>
      <c r="L40" s="15"/>
    </row>
    <row r="41" spans="1:12" x14ac:dyDescent="0.3">
      <c r="A41" s="15"/>
      <c r="B41" s="15"/>
      <c r="C41" s="15"/>
      <c r="D41" s="15"/>
      <c r="E41" s="15"/>
      <c r="F41" s="15"/>
      <c r="G41" s="15"/>
      <c r="H41" s="15"/>
      <c r="I41" s="15"/>
      <c r="J41" s="15"/>
      <c r="K41" s="15"/>
      <c r="L41" s="15"/>
    </row>
    <row r="42" spans="1:12" x14ac:dyDescent="0.3">
      <c r="A42" s="15"/>
      <c r="B42" s="15"/>
      <c r="C42" s="15"/>
      <c r="D42" s="15"/>
      <c r="E42" s="15"/>
      <c r="F42" s="15"/>
      <c r="G42" s="15"/>
      <c r="H42" s="15"/>
      <c r="I42" s="15"/>
      <c r="J42" s="15"/>
      <c r="K42" s="15"/>
      <c r="L42" s="15"/>
    </row>
    <row r="43" spans="1:12" x14ac:dyDescent="0.3">
      <c r="A43" s="15"/>
      <c r="B43" s="15"/>
      <c r="C43" s="15"/>
      <c r="D43" s="15"/>
      <c r="E43" s="15"/>
      <c r="F43" s="15"/>
      <c r="G43" s="15"/>
      <c r="H43" s="15"/>
      <c r="I43" s="15"/>
      <c r="J43" s="15"/>
      <c r="K43" s="15"/>
      <c r="L43" s="15"/>
    </row>
    <row r="44" spans="1:12" x14ac:dyDescent="0.3">
      <c r="A44" s="15"/>
      <c r="B44" s="15"/>
      <c r="C44" s="15"/>
      <c r="D44" s="15"/>
      <c r="E44" s="15"/>
      <c r="F44" s="15"/>
      <c r="G44" s="15"/>
      <c r="H44" s="15"/>
      <c r="I44" s="15"/>
      <c r="J44" s="15"/>
      <c r="K44" s="15"/>
      <c r="L44" s="15"/>
    </row>
    <row r="45" spans="1:12" x14ac:dyDescent="0.3">
      <c r="A45" s="15"/>
      <c r="B45" s="15"/>
      <c r="C45" s="15"/>
      <c r="D45" s="15"/>
      <c r="E45" s="15"/>
      <c r="F45" s="15"/>
      <c r="G45" s="15"/>
      <c r="H45" s="15"/>
      <c r="I45" s="15"/>
      <c r="J45" s="15"/>
      <c r="K45" s="15"/>
      <c r="L45" s="15"/>
    </row>
    <row r="46" spans="1:12" x14ac:dyDescent="0.3">
      <c r="A46" s="15"/>
      <c r="B46" s="15"/>
      <c r="C46" s="15"/>
      <c r="D46" s="15"/>
      <c r="E46" s="15"/>
      <c r="F46" s="15"/>
      <c r="G46" s="15"/>
      <c r="H46" s="15"/>
      <c r="I46" s="15"/>
      <c r="J46" s="15"/>
      <c r="K46" s="15"/>
      <c r="L46" s="15"/>
    </row>
    <row r="47" spans="1:12" x14ac:dyDescent="0.3">
      <c r="A47" s="15"/>
      <c r="B47" s="15"/>
      <c r="C47" s="15"/>
      <c r="D47" s="15"/>
      <c r="E47" s="15"/>
      <c r="F47" s="15"/>
      <c r="G47" s="15"/>
      <c r="H47" s="15"/>
      <c r="I47" s="15"/>
      <c r="J47" s="15"/>
      <c r="K47" s="15"/>
      <c r="L47" s="15"/>
    </row>
    <row r="48" spans="1:12" x14ac:dyDescent="0.3">
      <c r="A48" s="15"/>
      <c r="B48" s="15"/>
      <c r="C48" s="15"/>
      <c r="D48" s="15"/>
      <c r="E48" s="15"/>
      <c r="F48" s="15"/>
      <c r="G48" s="15"/>
      <c r="H48" s="15"/>
      <c r="I48" s="15"/>
      <c r="J48" s="15"/>
      <c r="K48" s="15"/>
      <c r="L48" s="15"/>
    </row>
    <row r="49" spans="1:12" x14ac:dyDescent="0.3">
      <c r="A49" s="15"/>
      <c r="B49" s="15"/>
      <c r="C49" s="15"/>
      <c r="D49" s="15"/>
      <c r="E49" s="15"/>
      <c r="F49" s="15"/>
      <c r="G49" s="15"/>
      <c r="H49" s="15"/>
      <c r="I49" s="15"/>
      <c r="J49" s="15"/>
      <c r="K49" s="15"/>
      <c r="L49" s="15"/>
    </row>
    <row r="50" spans="1:12" x14ac:dyDescent="0.3">
      <c r="A50" s="15"/>
      <c r="B50" s="15"/>
      <c r="C50" s="15"/>
      <c r="D50" s="15"/>
      <c r="E50" s="15"/>
      <c r="F50" s="15"/>
      <c r="G50" s="15"/>
      <c r="H50" s="15"/>
      <c r="I50" s="15"/>
      <c r="J50" s="15"/>
      <c r="K50" s="15"/>
      <c r="L50" s="15"/>
    </row>
    <row r="51" spans="1:12" x14ac:dyDescent="0.3">
      <c r="A51" s="15"/>
      <c r="B51" s="15"/>
      <c r="C51" s="15"/>
      <c r="D51" s="15"/>
      <c r="E51" s="15"/>
      <c r="F51" s="15"/>
      <c r="G51" s="15"/>
      <c r="H51" s="15"/>
      <c r="I51" s="15"/>
      <c r="J51" s="15"/>
      <c r="K51" s="15"/>
      <c r="L51" s="15"/>
    </row>
    <row r="52" spans="1:12" x14ac:dyDescent="0.3">
      <c r="A52" s="15"/>
      <c r="B52" s="15"/>
      <c r="C52" s="15"/>
      <c r="D52" s="15"/>
      <c r="E52" s="15"/>
      <c r="F52" s="15"/>
      <c r="G52" s="15"/>
      <c r="H52" s="15"/>
      <c r="I52" s="15"/>
      <c r="J52" s="15"/>
      <c r="K52" s="15"/>
      <c r="L52" s="15"/>
    </row>
    <row r="53" spans="1:12" x14ac:dyDescent="0.3">
      <c r="A53" s="15"/>
      <c r="B53" s="15"/>
      <c r="C53" s="15"/>
      <c r="D53" s="15"/>
      <c r="E53" s="15"/>
      <c r="F53" s="15"/>
      <c r="G53" s="15"/>
      <c r="H53" s="15"/>
      <c r="I53" s="15"/>
      <c r="J53" s="15"/>
      <c r="K53" s="15"/>
      <c r="L53" s="15"/>
    </row>
    <row r="54" spans="1:12" x14ac:dyDescent="0.3">
      <c r="A54" s="15"/>
      <c r="B54" s="15"/>
      <c r="C54" s="15"/>
      <c r="D54" s="15"/>
      <c r="E54" s="15"/>
      <c r="F54" s="15"/>
      <c r="G54" s="15"/>
      <c r="H54" s="15"/>
      <c r="I54" s="15"/>
      <c r="J54" s="15"/>
      <c r="K54" s="15"/>
      <c r="L54" s="15"/>
    </row>
    <row r="55" spans="1:12" x14ac:dyDescent="0.3">
      <c r="A55" s="15"/>
      <c r="B55" s="15"/>
      <c r="C55" s="15"/>
      <c r="D55" s="15"/>
      <c r="E55" s="15"/>
      <c r="F55" s="15"/>
      <c r="G55" s="15"/>
      <c r="H55" s="15"/>
      <c r="I55" s="15"/>
      <c r="J55" s="15"/>
      <c r="K55" s="15"/>
      <c r="L55" s="15"/>
    </row>
    <row r="56" spans="1:12" x14ac:dyDescent="0.3">
      <c r="A56" s="15"/>
      <c r="B56" s="15"/>
      <c r="C56" s="15"/>
      <c r="D56" s="15"/>
      <c r="E56" s="15"/>
      <c r="F56" s="15"/>
      <c r="G56" s="15"/>
      <c r="H56" s="15"/>
      <c r="I56" s="15"/>
      <c r="J56" s="15"/>
      <c r="K56" s="15"/>
      <c r="L56" s="15"/>
    </row>
    <row r="57" spans="1:12" x14ac:dyDescent="0.3">
      <c r="A57" s="15"/>
      <c r="B57" s="15"/>
      <c r="C57" s="15"/>
      <c r="D57" s="15"/>
      <c r="E57" s="15"/>
      <c r="F57" s="15"/>
      <c r="G57" s="15"/>
      <c r="H57" s="15"/>
      <c r="I57" s="15"/>
      <c r="J57" s="15"/>
      <c r="K57" s="15"/>
      <c r="L57" s="15"/>
    </row>
    <row r="58" spans="1:12" x14ac:dyDescent="0.3">
      <c r="A58" s="15"/>
      <c r="B58" s="15"/>
      <c r="C58" s="15"/>
      <c r="D58" s="15"/>
      <c r="E58" s="15"/>
      <c r="F58" s="15"/>
      <c r="G58" s="15"/>
      <c r="H58" s="15"/>
      <c r="I58" s="15"/>
      <c r="J58" s="15"/>
      <c r="K58" s="15"/>
      <c r="L58" s="15"/>
    </row>
    <row r="59" spans="1:12" x14ac:dyDescent="0.3">
      <c r="A59" s="15"/>
      <c r="B59" s="15"/>
      <c r="C59" s="15"/>
      <c r="D59" s="15"/>
      <c r="E59" s="15"/>
      <c r="F59" s="15"/>
      <c r="G59" s="15"/>
      <c r="H59" s="15"/>
      <c r="I59" s="15"/>
      <c r="J59" s="15"/>
      <c r="K59" s="15"/>
      <c r="L59" s="15"/>
    </row>
    <row r="61" spans="1:12" x14ac:dyDescent="0.3">
      <c r="A61" s="5" t="s">
        <v>1317</v>
      </c>
    </row>
  </sheetData>
  <dataValidations count="2">
    <dataValidation type="list" allowBlank="1" sqref="I3:I59" xr:uid="{00000000-0002-0000-0D00-000000000000}">
      <formula1>"Critical,High,Medium,Low"</formula1>
    </dataValidation>
    <dataValidation type="list" allowBlank="1" sqref="J3:J59" xr:uid="{00000000-0002-0000-0D00-000001000000}">
      <formula1>"Open,Fixed,Retested OK,Will not fix,Not a bug"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Start Here</vt:lpstr>
      <vt:lpstr>Progress</vt:lpstr>
      <vt:lpstr>Baseline data</vt:lpstr>
      <vt:lpstr>0 Setup</vt:lpstr>
      <vt:lpstr>1 Book a Ride</vt:lpstr>
      <vt:lpstr>2 Booking results</vt:lpstr>
      <vt:lpstr>3 My Bookings</vt:lpstr>
      <vt:lpstr>4 Driver Dashboard</vt:lpstr>
      <vt:lpstr>5 Dispatch Dashboard</vt:lpstr>
      <vt:lpstr>6 Fleet Reports</vt:lpstr>
      <vt:lpstr>7 Full journeys</vt:lpstr>
      <vt:lpstr>Data Notes</vt:lpstr>
      <vt:lpstr>Code Review Risks</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aabid shaikh</cp:lastModifiedBy>
  <dcterms:created xsi:type="dcterms:W3CDTF">2026-10-09T11:37:20Z</dcterms:created>
  <dcterms:modified xsi:type="dcterms:W3CDTF">2026-10-09T18:09:53Z</dcterms:modified>
</cp:coreProperties>
</file>