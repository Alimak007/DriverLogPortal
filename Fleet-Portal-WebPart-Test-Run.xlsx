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G:\ALL DATA\Desktop\mysite\Que_Info\SPFx\DriverLogPortal\"/>
    </mc:Choice>
  </mc:AlternateContent>
  <xr:revisionPtr revIDLastSave="0" documentId="13_ncr:1_{E601534A-DF7C-4AF1-BE14-C387DB745ECE}" xr6:coauthVersionLast="47" xr6:coauthVersionMax="47" xr10:uidLastSave="{00000000-0000-0000-0000-000000000000}"/>
  <bookViews>
    <workbookView xWindow="-108" yWindow="-108" windowWidth="23256" windowHeight="12456" xr2:uid="{00000000-000D-0000-FFFF-FFFF00000000}"/>
  </bookViews>
  <sheets>
    <sheet name="Start Here" sheetId="1" r:id="rId1"/>
    <sheet name="Progress" sheetId="2" r:id="rId2"/>
    <sheet name="0 Deployment check" sheetId="3" r:id="rId3"/>
    <sheet name="1 Book a Ride" sheetId="4" r:id="rId4"/>
    <sheet name="2 Booking results" sheetId="5" r:id="rId5"/>
    <sheet name="3 My Bookings" sheetId="6" r:id="rId6"/>
    <sheet name="4 Driver Dashboard" sheetId="7" r:id="rId7"/>
    <sheet name="5 Dispatch Dashboard" sheetId="8" r:id="rId8"/>
    <sheet name="6 Fleet Reports" sheetId="9" r:id="rId9"/>
    <sheet name="7 Across web parts" sheetId="10" r:id="rId10"/>
    <sheet name="Data Findings" sheetId="11" r:id="rId11"/>
    <sheet name="Code Review Risks" sheetId="12" r:id="rId12"/>
    <sheet name="Bug Log" sheetId="13" r:id="rId13"/>
  </sheets>
  <definedNames>
    <definedName name="_xlnm._FilterDatabase" localSheetId="2" hidden="1">'0 Deployment check'!$A$4:$N$27</definedName>
    <definedName name="_xlnm._FilterDatabase" localSheetId="3" hidden="1">'1 Book a Ride'!$A$4:$N$44</definedName>
    <definedName name="_xlnm._FilterDatabase" localSheetId="4" hidden="1">'2 Booking results'!$A$4:$N$30</definedName>
    <definedName name="_xlnm._FilterDatabase" localSheetId="5" hidden="1">'3 My Bookings'!$A$4:$N$23</definedName>
    <definedName name="_xlnm._FilterDatabase" localSheetId="6" hidden="1">'4 Driver Dashboard'!$A$4:$N$38</definedName>
    <definedName name="_xlnm._FilterDatabase" localSheetId="7" hidden="1">'5 Dispatch Dashboard'!$A$4:$N$42</definedName>
    <definedName name="_xlnm._FilterDatabase" localSheetId="8" hidden="1">'6 Fleet Reports'!$A$4:$N$26</definedName>
    <definedName name="_xlnm._FilterDatabase" localSheetId="9" hidden="1">'7 Across web parts'!$A$4:$N$43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2" i="2" l="1"/>
  <c r="F12" i="2"/>
  <c r="E12" i="2"/>
  <c r="D12" i="2"/>
  <c r="C12" i="2"/>
  <c r="I12" i="2" s="1"/>
  <c r="B12" i="2"/>
  <c r="H12" i="2" s="1"/>
  <c r="G11" i="2"/>
  <c r="F11" i="2"/>
  <c r="E11" i="2"/>
  <c r="D11" i="2"/>
  <c r="C11" i="2"/>
  <c r="I11" i="2" s="1"/>
  <c r="B11" i="2"/>
  <c r="H11" i="2" s="1"/>
  <c r="G10" i="2"/>
  <c r="F10" i="2"/>
  <c r="E10" i="2"/>
  <c r="D10" i="2"/>
  <c r="C10" i="2"/>
  <c r="I10" i="2" s="1"/>
  <c r="B10" i="2"/>
  <c r="H10" i="2" s="1"/>
  <c r="G9" i="2"/>
  <c r="F9" i="2"/>
  <c r="E9" i="2"/>
  <c r="D9" i="2"/>
  <c r="C9" i="2"/>
  <c r="I9" i="2" s="1"/>
  <c r="B9" i="2"/>
  <c r="H9" i="2" s="1"/>
  <c r="I8" i="2"/>
  <c r="G8" i="2"/>
  <c r="F8" i="2"/>
  <c r="E8" i="2"/>
  <c r="D8" i="2"/>
  <c r="C8" i="2"/>
  <c r="B8" i="2"/>
  <c r="H8" i="2" s="1"/>
  <c r="G7" i="2"/>
  <c r="F7" i="2"/>
  <c r="E7" i="2"/>
  <c r="D7" i="2"/>
  <c r="C7" i="2"/>
  <c r="I7" i="2" s="1"/>
  <c r="B7" i="2"/>
  <c r="H7" i="2" s="1"/>
  <c r="H6" i="2"/>
  <c r="G6" i="2"/>
  <c r="F6" i="2"/>
  <c r="E6" i="2"/>
  <c r="D6" i="2"/>
  <c r="C6" i="2"/>
  <c r="I6" i="2" s="1"/>
  <c r="B6" i="2"/>
  <c r="G5" i="2"/>
  <c r="G13" i="2" s="1"/>
  <c r="F5" i="2"/>
  <c r="F13" i="2" s="1"/>
  <c r="E5" i="2"/>
  <c r="E13" i="2" s="1"/>
  <c r="D5" i="2"/>
  <c r="D13" i="2" s="1"/>
  <c r="C5" i="2"/>
  <c r="B5" i="2"/>
  <c r="C13" i="2" l="1"/>
  <c r="I13" i="2" s="1"/>
  <c r="I5" i="2"/>
  <c r="B13" i="2"/>
  <c r="H13" i="2" s="1"/>
  <c r="H5" i="2"/>
</calcChain>
</file>

<file path=xl/sharedStrings.xml><?xml version="1.0" encoding="utf-8"?>
<sst xmlns="http://schemas.openxmlformats.org/spreadsheetml/2006/main" count="2604" uniqueCount="1381">
  <si>
    <t>Fleet Booking and Dispatch Portal - Testing the deployed web parts</t>
  </si>
  <si>
    <t>What this is</t>
  </si>
  <si>
    <t>A step-by-step run for the five deployed web parts. One sheet per web part, in the order to work through them. Follow the Step column from top to bottom on each sheet. It is written for the list data you sent on 9 Oct 2026.</t>
  </si>
  <si>
    <t>Work through the sheets in this order</t>
  </si>
  <si>
    <t>0 Deployment check - is everything deployed and is the data in the expected state.
1 Book a Ride - the wizard screens.
2 Booking results - what each kind of booking leads to.
3 My Bookings.
4 Driver Dashboard.
5 Dispatch Dashboard.
6 Fleet Reports - last, so there is data to report on.
7 Across web parts - roles, full journeys, permissions, look and feel.</t>
  </si>
  <si>
    <t>What is not in here</t>
  </si>
  <si>
    <t>Build and packaging steps (already done) and the Power Automate flows. A few rows are marked 'Yes' under 'Flow related': they describe what you will see while the flows are not running, or say how to imitate the flow by hand. The full flow tests are module 09 of Fleet-Portal-Test-Cases-Live-Data.xlsx.</t>
  </si>
  <si>
    <t>Cells you fill in</t>
  </si>
  <si>
    <t>The yellow cells: Actual result, Status, Notes / Bug ID, Tested by, Date tested. On Data Findings and Code Review Risks: Confirmed? and Notes. On Bug Log: every column.</t>
  </si>
  <si>
    <t>Status values</t>
  </si>
  <si>
    <t>Not Run (default), Pass, Fail, Blocked (cannot be run yet, for example it needs a second driver login), N/A. The Progress sheet counts them for you.</t>
  </si>
  <si>
    <t>Logins</t>
  </si>
  <si>
    <t>REQ: the requester. Your existing requests belong to Noreply Myhub.
DRV: the driver login, Queinfotech aliakbar, which acts as Rashid Al Mansoori.
COORD: whoever uses the Dispatch page. Do not use a driver login for this.
DRV2: a second driver login, once Suresh Nair has his own account.</t>
  </si>
  <si>
    <t>Assumptions</t>
  </si>
  <si>
    <t>DLClientMaster, AvailabilityBlocks, RideOffers and TripAssignments were not supplied. The expected results assume each driver is linked only to their home property, Ali Hassan has no Leave block, and no trip is open. Steps SET-005 to SET-007 on sheet 0 confirm this before you start.</t>
  </si>
  <si>
    <t>Standard booking</t>
  </si>
  <si>
    <t>Many steps say: pickup Head Office, destination Reem Island Office, Today, a slot within the next 4 hours, Staff, Kicks / Creta, 2 passengers. It is the one combination that reaches the driver you can sign in as (Rashid).</t>
  </si>
  <si>
    <t>Keep open while testing</t>
  </si>
  <si>
    <t>In a second tab: the lists TransportRequests, RideOffers, TripAssignments, TripStatusHistory, DriversMaster, VehicleMaster. In the browser: the console (F12). The engine explains every decision there in lines starting [FleetPortal].</t>
  </si>
  <si>
    <t>Clean up as you go</t>
  </si>
  <si>
    <t>A request that nobody accepts stays Broadcasting for ever unless Flow 2 is running. After a test, cancel left-over requests from the Dispatch page.</t>
  </si>
  <si>
    <t>How long things take</t>
  </si>
  <si>
    <t>Driver page refreshes every 20 s, My Bookings 30 s, Dispatch 60 s, the booking wizard 10 s.</t>
  </si>
  <si>
    <t>References between steps</t>
  </si>
  <si>
    <t>Steps refer to each other by ID, for example 'DRV-011'. IDs are the same as in the live-data workbook; use Ctrl+F across the workbook to find one.</t>
  </si>
  <si>
    <t>Example of a filled row</t>
  </si>
  <si>
    <t>Actual result: 'Went to Awaiting Coordinator, no offers, console said vehicles of this type at this property: 0.'  Status: Pass  Tested by: MAS  Date tested: 12-Oct-2026</t>
  </si>
  <si>
    <t>Progress</t>
  </si>
  <si>
    <t>Counts update as you set Status on each sheet.</t>
  </si>
  <si>
    <t>Sheet</t>
  </si>
  <si>
    <t>Total</t>
  </si>
  <si>
    <t>Pass</t>
  </si>
  <si>
    <t>Fail</t>
  </si>
  <si>
    <t>Blocked</t>
  </si>
  <si>
    <t>N/A</t>
  </si>
  <si>
    <t>Not Run</t>
  </si>
  <si>
    <t>% run</t>
  </si>
  <si>
    <t>% passed of run</t>
  </si>
  <si>
    <t>0 Deployment check</t>
  </si>
  <si>
    <t>1 Book a Ride</t>
  </si>
  <si>
    <t>2 Booking results</t>
  </si>
  <si>
    <t>3 My Bookings</t>
  </si>
  <si>
    <t>4 Driver Dashboard</t>
  </si>
  <si>
    <t>5 Dispatch Dashboard</t>
  </si>
  <si>
    <t>6 Fleet Reports</t>
  </si>
  <si>
    <t>7 Across web parts</t>
  </si>
  <si>
    <t>All sheets</t>
  </si>
  <si>
    <t>Deployment check</t>
  </si>
  <si>
    <t>Confirm the deployment itself and the state of the data before testing any feature.</t>
  </si>
  <si>
    <t>Step</t>
  </si>
  <si>
    <t>ID</t>
  </si>
  <si>
    <t>Feature</t>
  </si>
  <si>
    <t>Sign in as</t>
  </si>
  <si>
    <t>Priority</t>
  </si>
  <si>
    <t>Flow related</t>
  </si>
  <si>
    <t>Before you start</t>
  </si>
  <si>
    <t>Test steps</t>
  </si>
  <si>
    <t>Expected result</t>
  </si>
  <si>
    <t>Actual result</t>
  </si>
  <si>
    <t>Status</t>
  </si>
  <si>
    <t>Notes / Bug ID</t>
  </si>
  <si>
    <t>Tested by</t>
  </si>
  <si>
    <t>Date tested</t>
  </si>
  <si>
    <t>DEP-001</t>
  </si>
  <si>
    <t>App catalog</t>
  </si>
  <si>
    <t>Tenant or site admin</t>
  </si>
  <si>
    <t>High</t>
  </si>
  <si>
    <t>No</t>
  </si>
  <si>
    <t>You can open the App Catalog.</t>
  </si>
  <si>
    <t>1. Open the App Catalog and find 'Fleet Booking and Dispatch Portal'.</t>
  </si>
  <si>
    <t>- The app is listed, version 1.0.0.0, with no error in the 'App package error message' column.
- 'Deployed' / 'Enabled' is Yes and it was made available to all sites (or added to the travel site).
- Note the 'Modified' date; it should be the day you last uploaded the package.</t>
  </si>
  <si>
    <t>DEP-002</t>
  </si>
  <si>
    <t>Web part toolbox</t>
  </si>
  <si>
    <t>Page editor</t>
  </si>
  <si>
    <t>Any page on the site in edit mode.</t>
  </si>
  <si>
    <t>1. Click + to add a web part and search for 'Fleet'.</t>
  </si>
  <si>
    <t>Five web parts appear in the group 'Fleet Booking and Dispatch': Book a Ride, My Bookings, Driver Dashboard, Dispatch Dashboard, Fleet Reports.</t>
  </si>
  <si>
    <t>DEP-003</t>
  </si>
  <si>
    <t>Pages</t>
  </si>
  <si>
    <t>-</t>
  </si>
  <si>
    <t>1. Open each of your five pages and write its URL in Notes.
2. Confirm each page is published, not a draft.</t>
  </si>
  <si>
    <t>One page per web part, all published. Do not put several of these web parts on one page: each one polls, and the Driver Dashboard changes the browser tab title.</t>
  </si>
  <si>
    <t>DEP-004</t>
  </si>
  <si>
    <t>First load - Book a Ride</t>
  </si>
  <si>
    <t>REQ</t>
  </si>
  <si>
    <t>Open the page in a fresh browser window with the console open (F12).</t>
  </si>
  <si>
    <t>1. Load the Book a Ride page.</t>
  </si>
  <si>
    <t>Heading 'Book a ride' and step 1 of the wizard appear within a few seconds. No red banner. No red errors in the console.</t>
  </si>
  <si>
    <t>DEP-005</t>
  </si>
  <si>
    <t>First load - My Bookings</t>
  </si>
  <si>
    <t>Console open.</t>
  </si>
  <si>
    <t>1. Load the My Bookings page.</t>
  </si>
  <si>
    <t>Heading 'My bookings' with the request grid (or 'You have not booked anything yet'). No red banner, no console errors.</t>
  </si>
  <si>
    <t>DEP-006</t>
  </si>
  <si>
    <t>First load - Driver Dashboard</t>
  </si>
  <si>
    <t>DRV</t>
  </si>
  <si>
    <t>1. Load the Driver Dashboard page.</t>
  </si>
  <si>
    <t>Heading 'Driver dashboard' with the three sections, or 'You are not set up as a driver' if this login has no DriversMaster row. No red banner, no console errors.</t>
  </si>
  <si>
    <t>DEP-007</t>
  </si>
  <si>
    <t>First load - Dispatch Dashboard</t>
  </si>
  <si>
    <t>COORD</t>
  </si>
  <si>
    <t>1. Load the Dispatch Dashboard page.</t>
  </si>
  <si>
    <t>Heading 'Dispatch dashboard', six counters and the grids. No red banner, no console errors.</t>
  </si>
  <si>
    <t>DEP-008</t>
  </si>
  <si>
    <t>First load - Fleet Reports</t>
  </si>
  <si>
    <t>1. Load the Fleet Reports page.</t>
  </si>
  <si>
    <t>Heading 'Fleet reports', the filter bar and the report buttons. No red banner, no console errors.</t>
  </si>
  <si>
    <t>DEP-009</t>
  </si>
  <si>
    <t>Latest version is being served</t>
  </si>
  <si>
    <t>Any</t>
  </si>
  <si>
    <t>You have redeployed at least once.</t>
  </si>
  <si>
    <t>1. Press Ctrl+F5 on each page.
2. In the network tab filter on '.js' and find the five bundles (book-a-ride, my-bookings, driver-dashboard, dispatch-dashboard, reports).
3. Open the page in a private window as well.</t>
  </si>
  <si>
    <t>All bundles load with status 200 (no 404). The normal window and the private window show the same behaviour, so you are not testing a cached old build.</t>
  </si>
  <si>
    <t>DEP-010</t>
  </si>
  <si>
    <t>Fonts</t>
  </si>
  <si>
    <t>Medium</t>
  </si>
  <si>
    <t>Network tab open, filter on 'woff'.</t>
  </si>
  <si>
    <t>1. Reload any of the five pages.
2. Look at the heading font.</t>
  </si>
  <si>
    <t>The font files load from &lt;site&gt;/SiteAssets/fonts with status 200. If they return 404, the fonts were never uploaded to Site Assets and the pages fall back to a default font. Record the status.</t>
  </si>
  <si>
    <t>DEP-011</t>
  </si>
  <si>
    <t>Lists present</t>
  </si>
  <si>
    <t>Site owner</t>
  </si>
  <si>
    <t>Site contents open.</t>
  </si>
  <si>
    <t>1. Confirm these lists exist: PropertyMaster, DLClientMaster, VehicleTypes, Locations, DriversMaster, VehicleMaster, AllocationRules, TransportRequests, TripAssignments, RideOffers, TripStatusHistory, AvailabilityBlocks.</t>
  </si>
  <si>
    <t>All twelve exist. A missing list shows on the page as a red banner naming what could not be loaded.</t>
  </si>
  <si>
    <t>DEP-012</t>
  </si>
  <si>
    <t>Who can open each page</t>
  </si>
  <si>
    <t>REQ, DRV, COORD</t>
  </si>
  <si>
    <t>1. Sign in with each login and open all five pages.</t>
  </si>
  <si>
    <t>Record which login can open which page. By design requesters use Book a Ride and My Bookings, drivers the Driver Dashboard, Coordinators the Dispatch Dashboard and Reports. The web parts do not block the wrong role themselves; page and list permissions must.</t>
  </si>
  <si>
    <t>DEP-013</t>
  </si>
  <si>
    <t>Property pane</t>
  </si>
  <si>
    <t>Low</t>
  </si>
  <si>
    <t>Each page in edit mode.</t>
  </si>
  <si>
    <t>1. Open the property pane of each web part.</t>
  </si>
  <si>
    <t>- Book a Ride: default property ID, processing poll interval.
- My Bookings: history count, refresh seconds.
- Driver Dashboard: poll seconds.
- Dispatch Dashboard: refresh seconds.
- Fleet Reports: no settings.
- There are no flow URL fields; older documents that mention them are out of date.</t>
  </si>
  <si>
    <t>DEP-014</t>
  </si>
  <si>
    <t>Phone</t>
  </si>
  <si>
    <t>A real phone, signed in as the driver.</t>
  </si>
  <si>
    <t>1. Open the Driver Dashboard page and the Book a Ride page on the phone.</t>
  </si>
  <si>
    <t>Both load and fit the screen with no sideways scrolling.</t>
  </si>
  <si>
    <t>SET-003</t>
  </si>
  <si>
    <t>Accounts</t>
  </si>
  <si>
    <t>None.</t>
  </si>
  <si>
    <t>1. Write down which login you will use for each role.
2. REQ: the requester. Your three existing requests belong to 'Noreply Myhub', so only that login sees them in My Bookings.
3. DRV: the driver login. DriversMaster shows 'Queinfotech aliakbar'.
4. COORD: whoever opens the Dispatch page. Note whether this login is also a driver.
5. Open Site permissions and note which FM groups each login is in.</t>
  </si>
  <si>
    <t>Logins and their group memberships are recorded. If you only have one login, most tests still run; mark the ones that need a second login as Blocked.</t>
  </si>
  <si>
    <t>SET-004</t>
  </si>
  <si>
    <t>Driver accounts</t>
  </si>
  <si>
    <t>DriversMaster list open.</t>
  </si>
  <si>
    <t>1. Look at the UserAccount column for all six drivers.</t>
  </si>
  <si>
    <t>Each driver should have a different account. In the data you sent, all six rows show the same person (Queinfotech aliakbar). If that column is UserAccount, that login can only ever act as ONE driver (most likely Rashid Al Mansoori, the lowest ID), offers to the other five can never be seen or accepted by anyone, and the accept race cannot be tested. Record what you find. To test properly, give at least Suresh Nair, Jomon Varghese and Mohammed Iqbal their own logins.</t>
  </si>
  <si>
    <t>SET-005</t>
  </si>
  <si>
    <t>Driver to property links</t>
  </si>
  <si>
    <t>DLClientMaster list open.</t>
  </si>
  <si>
    <t>1. List every row: which driver (DriverID) is linked to which property (PropertyRef).
2. Write the links in Notes.</t>
  </si>
  <si>
    <t>- You did not send this list, and it decides who can be offered a trip. Every expected result in module 04 assumes each driver is linked ONLY to their home property: Rashid, Suresh, Mohammed and Arun to Al Maryah Tower; Jomon and Ali to Yas Island Resort; nobody to Khalifa Industrial Park.
- If your links differ, adjust the expected drivers in module 04 accordingly.</t>
  </si>
  <si>
    <t>SET-006</t>
  </si>
  <si>
    <t>Availability blocks</t>
  </si>
  <si>
    <t>AvailabilityBlocks list open.</t>
  </si>
  <si>
    <t>1. Check whether there is a Leave row for Ali Hassan covering today.
2. Note any other rows.</t>
  </si>
  <si>
    <t>Ali Hassan's Status is 'On Leave', but the allocation engine does not read that Status. It only excludes a driver who has a non-Shift AvailabilityBlocks row overlapping the trip. Record whether a Leave row exists. See ALC-008.</t>
  </si>
  <si>
    <t>SET-007</t>
  </si>
  <si>
    <t>Open trips</t>
  </si>
  <si>
    <t>TripAssignments list open.</t>
  </si>
  <si>
    <t>1. Filter TripStatus to Assigned, En Route and In Transit.
2. Look at TR-0002 and TR-0003.</t>
  </si>
  <si>
    <t>No open trips should exist at the start (all drivers and vehicles read Available). Record the status of TR-0003: request FB-0020 still points to it although FB-0020 reads Broadcasting. An open trip would hold its driver and vehicle and change the results below.</t>
  </si>
  <si>
    <t>SET-008</t>
  </si>
  <si>
    <t>Starting state - requests</t>
  </si>
  <si>
    <t>TransportRequests list open.</t>
  </si>
  <si>
    <t>1. Confirm the three rows.</t>
  </si>
  <si>
    <t>- FB-0019 Completed (Staff, Head Office to Yas Mall).
- FB-0020 Broadcasting, offer window closed 8 Oct 16:02. Items or Documents, but vehicle type Kicks / Creta and 4 passengers, which the booking wizard cannot produce.
- FB-0021 Broadcasting, offer window closed 7 Oct 17:40, required time already passed.
- Both Broadcasting rows are stuck: nothing moves a request out of Broadcasting after its window except Flow 2 (Expire offers).</t>
  </si>
  <si>
    <t>SET-009</t>
  </si>
  <si>
    <t>Starting state - columns</t>
  </si>
  <si>
    <t>TransportRequests list, all columns visible.</t>
  </si>
  <si>
    <t>1. Look at the last two columns of your export: one holds FB-0019 / FB-0020 / blank, the other holds 'Submitted' on every row.
2. Look at ItemDescription on the two Staff rows.</t>
  </si>
  <si>
    <t>- The web part keeps the reference in Title and the status in ReqStatus. It never writes the other two columns, so they will always be stale. Record their internal names and consider hiding or deleting them so nobody builds a view or a flow on them.
- ItemDescription reads 'Documents' on Staff requests. The web part only writes it for Items or Documents, so the column probably has a default value. Record it and consider removing the default.</t>
  </si>
  <si>
    <t>SET-010</t>
  </si>
  <si>
    <t>Starting state - reports</t>
  </si>
  <si>
    <t>Before creating any new request.</t>
  </si>
  <si>
    <t>1. Open Fleet Reports.
2. Set From 01 Oct 2026 and To 31 Oct 2026.
3. Run 'Request fulfilment'.</t>
  </si>
  <si>
    <t>Raised 3, Allocated 1 (FB-0019), Escalated to Coordinator 0, Rejected 0, Cancelled 0. Write the figures in Actual result; they are the baseline for module 08.</t>
  </si>
  <si>
    <t>SET-012</t>
  </si>
  <si>
    <t>Clean-up habit</t>
  </si>
  <si>
    <t>1. After any booking test whose request you no longer need, open the Dispatch page and Cancel it with the reason 'test clean-up'.</t>
  </si>
  <si>
    <t>Without Flow 2, every request left Broadcasting stays there for ever. Cancelling keeps the Pending grid readable.</t>
  </si>
  <si>
    <t>Book a Ride</t>
  </si>
  <si>
    <t>The booking wizard, screen by screen.</t>
  </si>
  <si>
    <t>BAR-001</t>
  </si>
  <si>
    <t>Load</t>
  </si>
  <si>
    <t>1. Open Book a Ride.</t>
  </si>
  <si>
    <t>- Heading 'Book a ride', caption 'Four steps. Everything is a choice from a list, so nothing can be mistyped.'
- Steps: Where, When, Request type, Vehicle. Back is disabled. Primary button 'Continue'.</t>
  </si>
  <si>
    <t>BAR-002</t>
  </si>
  <si>
    <t>Step 1 - default pickup</t>
  </si>
  <si>
    <t>REQ is not a driver.</t>
  </si>
  <si>
    <t>1. Look at Pickup point before touching it.</t>
  </si>
  <si>
    <t>Nothing is pre-selected. Placeholder 'Search for a pickup point'.</t>
  </si>
  <si>
    <t>BAR-003</t>
  </si>
  <si>
    <t>DRV is Rashid, home Al Maryah Tower.</t>
  </si>
  <si>
    <t>1. Open Book a Ride as DRV and look at Pickup point.</t>
  </si>
  <si>
    <t>A location of Al Maryah Tower is pre-selected. You would expect 'Head Office'. Record which one is shown.</t>
  </si>
  <si>
    <t>BAR-004</t>
  </si>
  <si>
    <t>Step 1 - list</t>
  </si>
  <si>
    <t>1. Click in Destination with nothing typed.</t>
  </si>
  <si>
    <t>12 locations are listed, each with its address. 'Old Depot (closed)' is NOT listed because it is inactive.</t>
  </si>
  <si>
    <t>BAR-005</t>
  </si>
  <si>
    <t>Step 1 - search</t>
  </si>
  <si>
    <t>1. Type: yas
2. Clear it and type: mussafah
3. Clear it and type: airport</t>
  </si>
  <si>
    <t>- 'yas': Yas Mall, Yas Resort Reception, Yas Staff Accommodation.
- 'mussafah': Central Warehouse only (matched on its address; Old Depot is inactive).
- 'airport': Zayed International Airport T1 and T3.</t>
  </si>
  <si>
    <t>BAR-006</t>
  </si>
  <si>
    <t>1. Type: old depot
2. Type: zzzz
3. Without choosing anything click Continue.</t>
  </si>
  <si>
    <t>- Both show 'No location matches that. Try a shorter search.'
- Continue is refused with 'Choose a pickup point.' or 'Choose a destination.' Typed text never becomes the answer.</t>
  </si>
  <si>
    <t>BAR-007</t>
  </si>
  <si>
    <t>Step 1 - validation</t>
  </si>
  <si>
    <t>1. Choose Head Office for both pickup and destination.
2. Click Continue.</t>
  </si>
  <si>
    <t>Refused with 'The pickup point and the destination are the same.'</t>
  </si>
  <si>
    <t>BAR-008</t>
  </si>
  <si>
    <t>No pickup selected.</t>
  </si>
  <si>
    <t>1. Choose only a destination.
2. Click Continue.</t>
  </si>
  <si>
    <t>Refused with 'Choose a pickup point.'</t>
  </si>
  <si>
    <t>BAR-009</t>
  </si>
  <si>
    <t>Step 1 - cross property</t>
  </si>
  <si>
    <t>1. Pickup Head Office (Al Maryah Tower), destination Yas Mall (Yas Island Resort).
2. Click Continue.</t>
  </si>
  <si>
    <t>Accepted. A trip may run between properties; it belongs to the pickup's property.</t>
  </si>
  <si>
    <t>BAR-010</t>
  </si>
  <si>
    <t>Step 2 - slots</t>
  </si>
  <si>
    <t>Step 1 done.</t>
  </si>
  <si>
    <t>1. Read the slot grid for Today.</t>
  </si>
  <si>
    <t>48 slots at 30-minute steps in 24-hour Gulf time. Every slot earlier than now + 15 minutes is disabled.</t>
  </si>
  <si>
    <t>BAR-011</t>
  </si>
  <si>
    <t>Step 2 - validation</t>
  </si>
  <si>
    <t>1. Click Continue without choosing a slot.</t>
  </si>
  <si>
    <t>Refused with 'Choose a time.'</t>
  </si>
  <si>
    <t>BAR-012</t>
  </si>
  <si>
    <t>Step 2 - another day</t>
  </si>
  <si>
    <t>1. Click 'Another day' and pick tomorrow.</t>
  </si>
  <si>
    <t>A Date field appears; all 48 slots are enabled and the label shows tomorrow's date.</t>
  </si>
  <si>
    <t>BAR-013</t>
  </si>
  <si>
    <t>Step 2 - past day</t>
  </si>
  <si>
    <t>1. Click 'Another day' and pick yesterday.</t>
  </si>
  <si>
    <t>Every slot is disabled.</t>
  </si>
  <si>
    <t>BAR-014</t>
  </si>
  <si>
    <t>Step 2 - toggle clears slot</t>
  </si>
  <si>
    <t>1. Choose a slot.
2. Click 'Another day', then 'Today'.
3. Click Continue.</t>
  </si>
  <si>
    <t>The slot is cleared; Continue is refused with 'Choose a time.'</t>
  </si>
  <si>
    <t>BAR-015</t>
  </si>
  <si>
    <t>Step 2 - time zone</t>
  </si>
  <si>
    <t>Set the PC time zone to India or UTC.</t>
  </si>
  <si>
    <t>1. Reload and go to step 2.</t>
  </si>
  <si>
    <t>Slot labels and the past cut-off are still in Gulf time. Restore the PC time zone afterwards.</t>
  </si>
  <si>
    <t>BAR-016</t>
  </si>
  <si>
    <t>Step 3 - tiles</t>
  </si>
  <si>
    <t>Step 2 done.</t>
  </si>
  <si>
    <t>1. Read the tiles.
2. Click Continue without choosing.</t>
  </si>
  <si>
    <t>Three tiles: Client or Client Guest, Staff, Items or Documents. Continue is refused with 'Choose a request type.'</t>
  </si>
  <si>
    <t>BAR-017</t>
  </si>
  <si>
    <t>Step 4 - Client</t>
  </si>
  <si>
    <t>Request type Client or Client Guest.</t>
  </si>
  <si>
    <t>1. Go to step 4.</t>
  </si>
  <si>
    <t>Four tiles in this order: Patrol (Up to 7 people), Pathfinder (Up to 7 people), Kicks / Creta (Up to 5 people), Others.</t>
  </si>
  <si>
    <t>BAR-018</t>
  </si>
  <si>
    <t>Step 4 - Staff</t>
  </si>
  <si>
    <t>Request type Staff.</t>
  </si>
  <si>
    <t>Three tiles: Patrol, Kicks / Creta, Others. Pathfinder is NOT offered to Staff in your VehicleTypes list.</t>
  </si>
  <si>
    <t>BAR-019</t>
  </si>
  <si>
    <t>Step 4 - Items</t>
  </si>
  <si>
    <t>Request type Items or Documents.</t>
  </si>
  <si>
    <t>- Five tiles: Cargo Van, Chiller Van, Hot and Cold Van, Animal Van, Others.
- 'What is being moved?' dropdown (Documents, Parcel, Equipment, Medical, Food, Other) and 'Anything the driver should know?' replace the passenger count.</t>
  </si>
  <si>
    <t>BAR-020</t>
  </si>
  <si>
    <t>Step 4 - type change clears vehicle</t>
  </si>
  <si>
    <t>On step 4 with a tile chosen.</t>
  </si>
  <si>
    <t>1. Click Back, choose a different request type, Continue, then Submit request.</t>
  </si>
  <si>
    <t>Refused with 'Choose a vehicle type.'</t>
  </si>
  <si>
    <t>BAR-021</t>
  </si>
  <si>
    <t>Step 4 - Others</t>
  </si>
  <si>
    <t>1. Choose Others.
2. Leave the new text field empty and click Submit request.</t>
  </si>
  <si>
    <t>A field 'What kind of vehicle do you need?' appears only for Others. Empty text is refused with 'Describe the vehicle you need.'</t>
  </si>
  <si>
    <t>BAR-022</t>
  </si>
  <si>
    <t>Step 4 - passengers</t>
  </si>
  <si>
    <t>Staff or Client.</t>
  </si>
  <si>
    <t>1. Clear the passenger field and Submit.
2. Enter 0 and Submit.</t>
  </si>
  <si>
    <t>Both refused with 'Enter how many people are travelling.'</t>
  </si>
  <si>
    <t>BAR-023</t>
  </si>
  <si>
    <t>Step 4 - capacity</t>
  </si>
  <si>
    <t>Staff, Kicks / Creta (capacity 5).</t>
  </si>
  <si>
    <t>1. Enter 9 passengers and Submit.</t>
  </si>
  <si>
    <t>The hint says the number is checked against the vehicle's capacity. Record whether 9 is refused or accepted.</t>
  </si>
  <si>
    <t>BAR-024</t>
  </si>
  <si>
    <t>Step 4 - items</t>
  </si>
  <si>
    <t>Items or Documents with a van chosen.</t>
  </si>
  <si>
    <t>1. Leave 'What is being moved?' on 'Choose one' and Submit.</t>
  </si>
  <si>
    <t>Refused with 'Choose what is being moved.'</t>
  </si>
  <si>
    <t>BAR-025</t>
  </si>
  <si>
    <t>Step 4 - lengths</t>
  </si>
  <si>
    <t>1. Paste very long text into Remarks, item notes and the Others field.</t>
  </si>
  <si>
    <t>Remarks and item notes stop at 500 characters; the Others field at 255.</t>
  </si>
  <si>
    <t>BAR-026</t>
  </si>
  <si>
    <t>Navigation</t>
  </si>
  <si>
    <t>On step 4, all filled in.</t>
  </si>
  <si>
    <t>1. Click Back to step 1, then Continue to step 4.</t>
  </si>
  <si>
    <t>Every earlier choice is kept. Finished steps show a tick and '(done)'.</t>
  </si>
  <si>
    <t>BAR-027</t>
  </si>
  <si>
    <t>Submit - normal</t>
  </si>
  <si>
    <t>Book: pickup Head Office, destination Reem Island Office, Today, a slot within the next 4 hours, Staff, Kicks / Creta, 2 passengers, remark 'test'.</t>
  </si>
  <si>
    <t>1. Click Submit request.
2. Note the reference.
3. Open the new row in TransportRequests.</t>
  </si>
  <si>
    <t>- Button reads 'Submitting…'. Then 'Your request has been received' with a reference FB-00nn (FB-0022 or higher).
- Row: Title = the reference and matches the item ID; Requester = REQ; Property = Al Maryah Tower (from the pickup); Priority Normal; NoOfPax 2; vehicle type Kicks / Creta; Remarks 'test'; required time stored in UTC (4 hours behind what you chose).</t>
  </si>
  <si>
    <t>BAR-028</t>
  </si>
  <si>
    <t>Submit - items</t>
  </si>
  <si>
    <t>Pickup Central Warehouse, destination Head Office, today, Items or Documents, Chiller Van, item Medical, a note.</t>
  </si>
  <si>
    <t>1. Submit and open the row.</t>
  </si>
  <si>
    <t>ItemDescription Medical and ItemNotes saved; NoOfPax empty.</t>
  </si>
  <si>
    <t>BAR-029</t>
  </si>
  <si>
    <t>Submit - Others</t>
  </si>
  <si>
    <t>Any pickup with a property, vehicle type Others with text 'Flatbed truck'.</t>
  </si>
  <si>
    <t>1. Submit, open the row, then open it in My Bookings.</t>
  </si>
  <si>
    <t>OtherVehicleText = 'Flatbed truck'. My Bookings shows 'Others (Flatbed truck)'.</t>
  </si>
  <si>
    <t>BAR-030</t>
  </si>
  <si>
    <t>Submit - pickup with no property</t>
  </si>
  <si>
    <t>REQ is not a driver. Zayed International Airport T1, T3, Cleveland Clinic Abu Dhabi and Downtown Abu Dhabi have no Property.</t>
  </si>
  <si>
    <t>1. Book: pickup Zayed International Airport T1, destination Head Office, today, Client or Client Guest, Patrol.
2. Click Submit request.
3. Check TransportRequests.</t>
  </si>
  <si>
    <t>- A red banner: 'This booking has no property, so no driver could be found for it. Choose a pickup point that belongs to a property, or ask a Fleet Admin to set the Property column on the Locations list.'
- No row is created.
- This blocks every airport, clinic and downtown pickup for normal requesters. Decide whether those four locations should have a Property.</t>
  </si>
  <si>
    <t>BAR-031</t>
  </si>
  <si>
    <t>DRV is Rashid (home Al Maryah Tower).</t>
  </si>
  <si>
    <t>1. As DRV book the same airport pickup.</t>
  </si>
  <si>
    <t>It is accepted and filed under Al Maryah Tower, because a login with a home property falls back to it. The same booking behaves differently depending on who makes it.</t>
  </si>
  <si>
    <t>BAR-032</t>
  </si>
  <si>
    <t>Submit - destination with no property</t>
  </si>
  <si>
    <t>1. Book: pickup Head Office, destination Zayed International Airport T3, today, Staff, Kicks / Creta.</t>
  </si>
  <si>
    <t>Accepted. Only the pickup needs a property.</t>
  </si>
  <si>
    <t>BAR-033</t>
  </si>
  <si>
    <t>Screen 5 - broadcasting</t>
  </si>
  <si>
    <t>Just submitted pickup Head Office, destination Reem Island Office, Today, a slot within the next 4 hours, Staff, Kicks / Creta, 2 passengers.</t>
  </si>
  <si>
    <t>1. Stay on the screen for 20 seconds.</t>
  </si>
  <si>
    <t>Request received — done; Finding a vehicle — done; Matching a driver — in progress.</t>
  </si>
  <si>
    <t>BAR-034</t>
  </si>
  <si>
    <t>Screen 5 - escalated</t>
  </si>
  <si>
    <t>Book: pickup Head Office, today, Staff, Patrol (no Patrol is based at Al Maryah Tower).</t>
  </si>
  <si>
    <t>Amber notice: no driver was free, it has gone to the Transportation Coordinator, and the booking has not been lost.</t>
  </si>
  <si>
    <t>BAR-035</t>
  </si>
  <si>
    <t>Screen 6 - confirmed</t>
  </si>
  <si>
    <t>REQ + DRV</t>
  </si>
  <si>
    <t>Screen 5 open for a Kicks / Creta request from Head Office. DRV accepts it (DRV-011).</t>
  </si>
  <si>
    <t>1. Wait up to 10 seconds after the accept.</t>
  </si>
  <si>
    <t>- The page moves to 'Booking confirmed' on its own.
- 'Your driver': Rashid Al Mansoori, +971 50 123 4567 as a tap-to-call link, Grey Nissan Kicks, plate AUH-90123, vehicle type Kicks / Creta.</t>
  </si>
  <si>
    <t>BAR-036</t>
  </si>
  <si>
    <t>Screen 7 - track</t>
  </si>
  <si>
    <t>On Booking confirmed.</t>
  </si>
  <si>
    <t>1. Click 'Track my ride'.
2. Have DRV tap On my way, Picked up, Complete.</t>
  </si>
  <si>
    <t>Four-stage timeline (Booking confirmed, Driver on the way, On the way to your destination, Trip completed), each marked Done / Now / To come with a timestamp. The driver and vehicle card stays on screen. Updates within about 10 seconds of each tap.</t>
  </si>
  <si>
    <t>BAR-037</t>
  </si>
  <si>
    <t>Screen 7 - no driver yet</t>
  </si>
  <si>
    <t>Screen 5 for a request nobody has accepted.</t>
  </si>
  <si>
    <t>1. Click 'Track this request'.</t>
  </si>
  <si>
    <t>'No driver has accepted yet. You will be e-mailed as soon as one does.'</t>
  </si>
  <si>
    <t>BAR-038</t>
  </si>
  <si>
    <t>Start over</t>
  </si>
  <si>
    <t>On screen 6 or 7.</t>
  </si>
  <si>
    <t>1. Click 'Book another ride'.</t>
  </si>
  <si>
    <t>Back to step 1 with everything cleared.</t>
  </si>
  <si>
    <t>BAR-039</t>
  </si>
  <si>
    <t>Failure</t>
  </si>
  <si>
    <t>1. Set the browser Offline in DevTools.
2. Click Submit request.
3. Go back online.</t>
  </si>
  <si>
    <t>A red banner says the change could not be saved and nothing was saved. The form stays filled in.</t>
  </si>
  <si>
    <t>BAR-040</t>
  </si>
  <si>
    <t>Web part settings</t>
  </si>
  <si>
    <t>Edit the page.</t>
  </si>
  <si>
    <t>1. Open the property pane; set the default property ID to Yas Island Resort's ID.
2. Reload as REQ.</t>
  </si>
  <si>
    <t>Pickup now defaults to a Yas Island Resort location. The poll interval setting changes how often screens 5 and 7 refresh.</t>
  </si>
  <si>
    <t>Booking results</t>
  </si>
  <si>
    <t>What happens to a request after Submit: who is offered it, or why it goes to the Coordinator. Book from the Book a Ride page, then check the lists.</t>
  </si>
  <si>
    <t>ALC-001</t>
  </si>
  <si>
    <t>Al Maryah - Kicks / Creta</t>
  </si>
  <si>
    <t>SET-005 to SET-007 done. No open trips. Driver links assumed home-property only.</t>
  </si>
  <si>
    <t>1. Book: pickup Head Office, destination Reem Island Office, Today, a slot within the next 4 hours, Staff, Kicks / Creta, 2 passengers.
2. Open the request row and RideOffers.</t>
  </si>
  <si>
    <t>- ReqStatus Broadcasting. OfferClosesAt = submit time + 15 minutes.
- Pending offers for Rashid Al Mansoori (title FB-00nn-D018) and Suresh Nair (FB-00nn-D019). Vehicle column empty.
- Arun Prasad is offered it only if the trip window (required time + 2 hours) ends on or before 10 Oct 2026 00:00 Gulf time, when his licence expires. From 10 Oct onward he is never offered anything.
- No offer for Mohammed Iqbal (vans only), Jomon Varghese or Ali Hassan (Yas Island Resort).</t>
  </si>
  <si>
    <t>ALC-002</t>
  </si>
  <si>
    <t>Al Maryah - Chiller Van</t>
  </si>
  <si>
    <t>1. Book: pickup Central Warehouse, destination Head Office, today, Items or Documents, Chiller Van.</t>
  </si>
  <si>
    <t>Broadcasting. One offer, for Mohammed Iqbal (FB-00nn-D020). AUH-67890 is the vehicle that will be bound on accept.</t>
  </si>
  <si>
    <t>ALC-003</t>
  </si>
  <si>
    <t>Al Maryah - Patrol</t>
  </si>
  <si>
    <t>1. Open the browser console.
2. Book: pickup Head Office, today, Staff, Patrol.</t>
  </si>
  <si>
    <t>- Awaiting Coordinator at once; OfferClosesAt = submit time; no offers.
- Console: '[FleetPortal] FB-00nn escalated to the Coordinator' ... 'vehicles of this type at this property: 0'. Rashid and Suresh are qualified, but the only Patrol (AUH-56789) is based at Yas Island Resort.</t>
  </si>
  <si>
    <t>ALC-004</t>
  </si>
  <si>
    <t>Al Maryah - Pathfinder</t>
  </si>
  <si>
    <t>1. Book: pickup Head Office, today, Client or Client Guest, Pathfinder.</t>
  </si>
  <si>
    <t>Awaiting Coordinator. The only Pathfinder (AUH-45678) is at Yas Island Resort.</t>
  </si>
  <si>
    <t>ALC-005</t>
  </si>
  <si>
    <t>Al Maryah - other vans</t>
  </si>
  <si>
    <t>1. Book three times from Central Warehouse, Items or Documents: Cargo Van, Hot and Cold Van, Animal Van.</t>
  </si>
  <si>
    <t>All three go to Awaiting Coordinator. There is no Cargo Van in the fleet at all, and the Hot and Cold and Animal vans are at Khalifa Industrial Park.</t>
  </si>
  <si>
    <t>ALC-006</t>
  </si>
  <si>
    <t>Any property - Others</t>
  </si>
  <si>
    <t>1. Book any request with vehicle type Others and a description.</t>
  </si>
  <si>
    <t>Awaiting Coordinator. No vehicle is of type Others and no driver lists Others as a qualification, so the Coordinator always handles these.</t>
  </si>
  <si>
    <t>ALC-007</t>
  </si>
  <si>
    <t>Yas - Pathfinder</t>
  </si>
  <si>
    <t>1. Book: pickup Yas Resort Reception, destination Yas Mall, today, Client or Client Guest, Pathfinder.</t>
  </si>
  <si>
    <t>Property Yas Island Resort. Broadcasting. One offer, for Jomon Varghese (FB-00nn-D021).</t>
  </si>
  <si>
    <t>ALC-008</t>
  </si>
  <si>
    <t>Yas - Patrol (driver on leave)</t>
  </si>
  <si>
    <t>SET-005 to SET-007 done. No open trips. Driver links assumed home-property only. Ali Hassan is the only Yas driver qualified for Patrol, and his Status is On Leave.</t>
  </si>
  <si>
    <t>1. Book: pickup Yas Resort Reception, destination Yas Mall, today, Staff, Patrol.
2. Check RideOffers.</t>
  </si>
  <si>
    <t>By design a driver on leave must not be offered work, so this should go to Awaiting Coordinator. Record whether an offer is created for Ali Hassan (FB-00nn-D022). The engine ignores the Status column and only looks for a Leave row in AvailabilityBlocks (SET-006).</t>
  </si>
  <si>
    <t>ALC-009</t>
  </si>
  <si>
    <t>Yas - Patrol with a Leave block</t>
  </si>
  <si>
    <t>Add an AvailabilityBlocks row: Driver Ali Hassan, BlockType Leave, from yesterday to next week.</t>
  </si>
  <si>
    <t>1. Repeat ALC-008.</t>
  </si>
  <si>
    <t>Awaiting Coordinator, no offers. The console report shows Ali as 'on leave or otherwise blocked during the trip window'.</t>
  </si>
  <si>
    <t>ALC-010</t>
  </si>
  <si>
    <t>Yas - Kicks / Creta</t>
  </si>
  <si>
    <t>1. Book: pickup Yas Mall, today, Staff, Kicks / Creta.</t>
  </si>
  <si>
    <t>Awaiting Coordinator. Jomon is qualified, but the only Kicks / Creta (AUH-90123) is at Al Maryah Tower.</t>
  </si>
  <si>
    <t>ALC-011</t>
  </si>
  <si>
    <t>Khalifa - Staff</t>
  </si>
  <si>
    <t>1. Book: pickup Khalifa Admin Block, destination Head Office, today, Staff, Kicks / Creta.</t>
  </si>
  <si>
    <t>Awaiting Coordinator. No driver has Khalifa Industrial Park as home property (and, assuming home-only links, none is allocated to it), and no passenger vehicle is based there.</t>
  </si>
  <si>
    <t>ALC-012</t>
  </si>
  <si>
    <t>Khalifa - vans</t>
  </si>
  <si>
    <t>1. Book: pickup Khalifa Plant Gate 2, today, Items or Documents, Hot and Cold Van. Repeat with Animal Van.</t>
  </si>
  <si>
    <t>Both Awaiting Coordinator. The vans AUH-78901 and AUH-89012 are there, but no driver in DriversMaster is qualified for Hot and Cold Van or Animal Van, so they can never be allocated automatically.</t>
  </si>
  <si>
    <t>ALC-013</t>
  </si>
  <si>
    <t>Khalifa - Client (Manual rule)</t>
  </si>
  <si>
    <t>The rule 'Khalifa Industrial Park - Client or Client Guest' has Mode Manual.</t>
  </si>
  <si>
    <t>1. Book: pickup Khalifa Admin Block, today, Client or Client Guest, Patrol.
2. Open the row.</t>
  </si>
  <si>
    <t>Awaiting Coordinator, no offers, and OfferClosesAt is EMPTY (the broadcast never ran). Compare with ALC-011, where OfferClosesAt is filled.</t>
  </si>
  <si>
    <t>ALC-014</t>
  </si>
  <si>
    <t>Advance booking</t>
  </si>
  <si>
    <t>1. Book: pickup Head Office, 'Another day' = tomorrow, any slot, Staff, Kicks / Creta.
2. Open the row.</t>
  </si>
  <si>
    <t>ReqStatus Held. ReleaseAt = required time minus 4 hours. No offers. My Bookings shows the badge Held.</t>
  </si>
  <si>
    <t>ALC-015</t>
  </si>
  <si>
    <t>Advance booking - boundary</t>
  </si>
  <si>
    <t>1. Book for today, a slot a little more than 4 hours from now.
2. Book for today, a slot a little less than 4 hours from now.</t>
  </si>
  <si>
    <t>The first is Held; the second broadcasts straight away.</t>
  </si>
  <si>
    <t>ALC-016</t>
  </si>
  <si>
    <t>Sweep</t>
  </si>
  <si>
    <t>The Held request from ALC-014.</t>
  </si>
  <si>
    <t>1. In the list set its ReqStatus to Submitted by hand (this is what Flow 5 does).
2. Open Dispatch or wait for its 60-second refresh.
3. Open the row and RideOffers.</t>
  </si>
  <si>
    <t>Within one refresh it becomes Broadcasting with offers for Rashid and Suresh. Arun Prasad is not offered it, because the trip is after his licence expiry.</t>
  </si>
  <si>
    <t>ALC-017</t>
  </si>
  <si>
    <t>Idempotent</t>
  </si>
  <si>
    <t>A Broadcasting request with Pending offers.</t>
  </si>
  <si>
    <t>1. Click Refresh on Dispatch five times.
2. Count its offers.</t>
  </si>
  <si>
    <t>The number of offers does not change.</t>
  </si>
  <si>
    <t>ALC-018</t>
  </si>
  <si>
    <t>One vehicle per type</t>
  </si>
  <si>
    <t>Rashid has accepted a Kicks / Creta trip from Al Maryah Tower and not completed it (AUH-90123 is on an open trip).</t>
  </si>
  <si>
    <t>1. Book another: pickup Head Office, destination Reem Island Office, Today, a slot within the next 4 hours, Staff, Kicks / Creta, 2 passengers.</t>
  </si>
  <si>
    <t>Awaiting Coordinator. Suresh is free, but the only Kicks / Creta at Al Maryah Tower is on a trip. Each property has at most one vehicle of each type, so one open trip blocks that type.</t>
  </si>
  <si>
    <t>ALC-019</t>
  </si>
  <si>
    <t>Driver cap</t>
  </si>
  <si>
    <t>Rashid (cap 1) holds an open trip. Give Al Maryah Tower a second Kicks / Creta for this test (set PropertyRef of any spare vehicle and its type by hand), or skip.</t>
  </si>
  <si>
    <t>1. Book: pickup Head Office, destination Reem Island Office, Today, a slot within the next 4 hours, Staff, Kicks / Creta, 2 passengers.</t>
  </si>
  <si>
    <t>Offer to Suresh only. Rashid is at his cap of 1. Suresh's cap is 2, so he would still be offered a second trip while holding one.</t>
  </si>
  <si>
    <t>ALC-020</t>
  </si>
  <si>
    <t>Licence expiry</t>
  </si>
  <si>
    <t>Arun Prasad's licence expires 10 Oct 2026.</t>
  </si>
  <si>
    <t>1. Look at the offers created for any Kicks / Creta trip from Al Maryah Tower required on or after 10 Oct.</t>
  </si>
  <si>
    <t>No offer for Arun Prasad. If the engine escalates, the console lists him as 'licence expires before the end of the trip window'.</t>
  </si>
  <si>
    <t>ALC-021</t>
  </si>
  <si>
    <t>Vehicle block</t>
  </si>
  <si>
    <t>Add an AvailabilityBlocks row for vehicle AUH-90123, BlockType Maintenance, covering today. Leave VehStatus as Available.</t>
  </si>
  <si>
    <t>Awaiting Coordinator. A blocked vehicle is not free even though its status reads Available. Delete the row afterwards.</t>
  </si>
  <si>
    <t>ALC-022</t>
  </si>
  <si>
    <t>Vehicle status</t>
  </si>
  <si>
    <t>Set VehStatus of AUH-90123 to Under Maintenance.</t>
  </si>
  <si>
    <t>Awaiting Coordinator. Set it back to Available afterwards.</t>
  </si>
  <si>
    <t>ALC-023</t>
  </si>
  <si>
    <t>Shift block</t>
  </si>
  <si>
    <t>Add an AvailabilityBlocks row for Suresh Nair, BlockType Shift, covering today.</t>
  </si>
  <si>
    <t>Suresh still gets an offer. A Shift row never excludes. Delete it afterwards.</t>
  </si>
  <si>
    <t>ALC-024</t>
  </si>
  <si>
    <t>Inactive driver</t>
  </si>
  <si>
    <t>Set IsActive = No on Suresh Nair.</t>
  </si>
  <si>
    <t>No offer for Suresh. Set it back afterwards.</t>
  </si>
  <si>
    <t>ALC-025</t>
  </si>
  <si>
    <t>Rule switched to Manual</t>
  </si>
  <si>
    <t>Set Mode = Manual on 'Al Maryah Tower - Staff'.</t>
  </si>
  <si>
    <t>Awaiting Coordinator with no offers. Set the rule back to Automatic.</t>
  </si>
  <si>
    <t>ALC-026</t>
  </si>
  <si>
    <t>Rule inactive</t>
  </si>
  <si>
    <t>Set IsActive = No on 'Al Maryah Tower - Staff'.</t>
  </si>
  <si>
    <t>The built-in defaults apply (15-minute window, 4-hour release, Automatic), which match your rules, so the result is the same as ALC-001. Reactivate the rule.</t>
  </si>
  <si>
    <t>My Bookings</t>
  </si>
  <si>
    <t>The requester's history and tracking page.</t>
  </si>
  <si>
    <t>MYB-001</t>
  </si>
  <si>
    <t>REQ = Noreply Myhub, before any new booking.</t>
  </si>
  <si>
    <t>1. Open My Bookings.</t>
  </si>
  <si>
    <t>- Three rows, newest first: FB-0021, FB-0020, FB-0019. FB-0021 is selected automatically (its button reads 'Showing').
- Columns Reference, Required, From and to, Request type, Status, Actions.</t>
  </si>
  <si>
    <t>MYB-002</t>
  </si>
  <si>
    <t>Load - other login</t>
  </si>
  <si>
    <t>A login with no bookings</t>
  </si>
  <si>
    <t>'You have not booked anything yet'. Nobody else's requests are listed.</t>
  </si>
  <si>
    <t>MYB-003</t>
  </si>
  <si>
    <t>Grid values</t>
  </si>
  <si>
    <t>1. Read the three rows.</t>
  </si>
  <si>
    <t>- FB-0021: 07/10/2026, 19:00 · Central Warehouse → Khalifa Plant Gate 2 · Staff · Broadcasting.
- FB-0020: 09/10/2026, 19:30 · Central Warehouse → Head Office · Items or Documents · Broadcasting.
- FB-0019: 06/10/2026, 19:00 · Head Office → Yas Mall · Staff · Completed.
- Each status is a badge with its word.</t>
  </si>
  <si>
    <t>MYB-004</t>
  </si>
  <si>
    <t>Grid filter</t>
  </si>
  <si>
    <t>1. Click the Status header, tick Completed, Close.
2. Open it again and Clear.
3. Filter Request type to Staff.</t>
  </si>
  <si>
    <t>Status filter leaves FB-0019 only and the header shows '▼ filtered (1)'. Clear restores all. Staff leaves FB-0021 and FB-0019.</t>
  </si>
  <si>
    <t>MYB-005</t>
  </si>
  <si>
    <t>Detail - Completed</t>
  </si>
  <si>
    <t>1. Click View on FB-0019.</t>
  </si>
  <si>
    <t>- Badge Completed. Required 06/10/2026, 19:00; From Head Office; To Yas Mall; Request type Staff; Vehicle type Kicks / Creta; Passengers 3.
- If a TripAssignments row exists for it: 'Your driver and vehicle' (name, phone link, colour make model, plate) and a Progress timeline with all four stages reached. Record what is shown.
- No cancel button.</t>
  </si>
  <si>
    <t>MYB-006</t>
  </si>
  <si>
    <t>Detail - Broadcasting</t>
  </si>
  <si>
    <t>1. Click View on FB-0020.</t>
  </si>
  <si>
    <t>Notice 'We have your request and are finding you a driver...'. Items row shows 'Documents'. Vehicle type Kicks / Creta. No driver or vehicle details.</t>
  </si>
  <si>
    <t>MYB-007</t>
  </si>
  <si>
    <t>Stuck request</t>
  </si>
  <si>
    <t>FB-0021's offer window closed on 7 Oct.</t>
  </si>
  <si>
    <t>1. Click View on FB-0021 and read the notice.</t>
  </si>
  <si>
    <t>It still says a driver is being found, two days after the window closed. Without Flow 2 the requester is never told otherwise. Record it.</t>
  </si>
  <si>
    <t>MYB-008</t>
  </si>
  <si>
    <t>Cancel while Broadcasting</t>
  </si>
  <si>
    <t>FB-0021 is Broadcasting; no driver has accepted.</t>
  </si>
  <si>
    <t>1. Select FB-0021 and note the button label.
2. Click it, type a reason, confirm.
3. Check the row, its offers and TripStatusHistory.</t>
  </si>
  <si>
    <t>By design a request no driver has taken should be cancellable. Record the button label, the message shown, and whether anything was written to any list.</t>
  </si>
  <si>
    <t>MYB-009</t>
  </si>
  <si>
    <t>Cancel - direct</t>
  </si>
  <si>
    <t>A Held request of yours (ALC-014) or one that is Awaiting Coordinator (ALC-003).</t>
  </si>
  <si>
    <t>1. Select it and click 'Cancel this booking'.
2. Read the dialog; try to confirm with no reason.
3. Type a reason and click 'Cancel the booking'.
4. Check the row.</t>
  </si>
  <si>
    <t>- Dialog 'Cancel this booking?' with three consequences; the confirm button is disabled until a reason is typed.
- Green notice 'Your booking was cancelled.' Badge Cancelled.
- Row: ReqStatus Cancelled, CancellationReason = your text.</t>
  </si>
  <si>
    <t>MYB-010</t>
  </si>
  <si>
    <t>Cancel - dialog</t>
  </si>
  <si>
    <t>Cancel dialog open.</t>
  </si>
  <si>
    <t>1. Click in the reason box, type nothing, click elsewhere.
2. Click Cancel.</t>
  </si>
  <si>
    <t>'A reason is required.' appears. Cancel closes the dialog with no change.</t>
  </si>
  <si>
    <t>MYB-011</t>
  </si>
  <si>
    <t>Cancelled notice</t>
  </si>
  <si>
    <t>After MYB-009.</t>
  </si>
  <si>
    <t>1. Select the cancelled request.</t>
  </si>
  <si>
    <t>Notice 'Cancelled: &lt;your reason&gt;'. No cancel button.</t>
  </si>
  <si>
    <t>MYB-012</t>
  </si>
  <si>
    <t>Ask to cancel</t>
  </si>
  <si>
    <t>A request of yours that is Allocated (a driver has accepted).</t>
  </si>
  <si>
    <t>1. Select it; read the button.
2. Click it, read the dialog, type a reason, click 'Send the request'.
3. Check the request, the trip and TripStatusHistory.</t>
  </si>
  <si>
    <t>- Button 'Ask to cancel'. Dialog 'Ask the Coordinator to cancel?'.
- Notice: 'A driver has already accepted this trip, so the Transportation Coordinator has been asked to cancel it. Your driver stays assigned until they do.'
- Request stays Allocated; trip unchanged; a TripStatusHistory row is added with 'Cancellation requested by the requester: &lt;reason&gt;'.</t>
  </si>
  <si>
    <t>MYB-013</t>
  </si>
  <si>
    <t>Allocated detail</t>
  </si>
  <si>
    <t>A request Rashid has accepted.</t>
  </si>
  <si>
    <t>1. Select it.</t>
  </si>
  <si>
    <t>Driver Rashid Al Mansoori, phone +971 50 123 4567, Grey Nissan Kicks, plate AUH-90123. Timeline shows Booking confirmed = Now.</t>
  </si>
  <si>
    <t>MYB-014</t>
  </si>
  <si>
    <t>Privacy</t>
  </si>
  <si>
    <t>A request not yet accepted.</t>
  </si>
  <si>
    <t>1. Read its detail panel.</t>
  </si>
  <si>
    <t>No driver, vehicle or availability information before a driver accepts.</t>
  </si>
  <si>
    <t>MYB-015</t>
  </si>
  <si>
    <t>Awaiting Coordinator notice</t>
  </si>
  <si>
    <t>A request that escalated (ALC-003).</t>
  </si>
  <si>
    <t>Amber notice that the Transportation Coordinator is assigning someone and the booking has not been lost. Button 'Cancel this booking'.</t>
  </si>
  <si>
    <t>MYB-016</t>
  </si>
  <si>
    <t>Rejected notice</t>
  </si>
  <si>
    <t>A request the Coordinator rejected (DSP-027).</t>
  </si>
  <si>
    <t>'This request was declined: &lt;the Coordinator's reason&gt;'. Badge Rejected. No cancel button.</t>
  </si>
  <si>
    <t>MYB-017</t>
  </si>
  <si>
    <t>Auto refresh</t>
  </si>
  <si>
    <t>My Bookings open on an Allocated request.</t>
  </si>
  <si>
    <t>1. Have the driver tap the next status; wait up to 30 seconds.</t>
  </si>
  <si>
    <t>Timeline and grid update on their own. The Refresh button does it at once.</t>
  </si>
  <si>
    <t>MYB-018</t>
  </si>
  <si>
    <t>After Complete, no Flow 3</t>
  </si>
  <si>
    <t>Yes</t>
  </si>
  <si>
    <t>The driver has tapped Complete; Flow 3 is not built.</t>
  </si>
  <si>
    <t>1. Select the request.</t>
  </si>
  <si>
    <t>The timeline shows Trip completed, but the request badge still reads Allocated and 'Ask to cancel' is still offered. Only Flow 3 sets the request to Completed.</t>
  </si>
  <si>
    <t>MYB-019</t>
  </si>
  <si>
    <t>1. Lower the history count to 2 and change the refresh seconds.
2. Reload.</t>
  </si>
  <si>
    <t>Only the 2 newest requests are listed, refreshing at the new interval.</t>
  </si>
  <si>
    <t>Driver Dashboard</t>
  </si>
  <si>
    <t>Offers, accept and reject, and the three status taps.</t>
  </si>
  <si>
    <t>DRV-001</t>
  </si>
  <si>
    <t>DRV = Queinfotech aliakbar, acting as Rashid Al Mansoori.</t>
  </si>
  <si>
    <t>1. Open the Driver Dashboard.</t>
  </si>
  <si>
    <t>- Caption 'Signed in as &lt;login name&gt;. Offers refresh automatically.' Buttons 'Sound: off' and 'Refresh now'.
- Sections Open offers, My trips today, Completed today. Footer note about the 20-second check.</t>
  </si>
  <si>
    <t>DRV-002</t>
  </si>
  <si>
    <t>Starting state</t>
  </si>
  <si>
    <t>Before any new booking. FB-0020 and FB-0021 are Broadcasting with closed windows.</t>
  </si>
  <si>
    <t>1. Read the page.
2. Check RideOffers for Pending rows on FB-0020 and FB-0021.</t>
  </si>
  <si>
    <t>'No open offers', even if Pending offer rows still exist in the list: an offer whose window has passed is hidden. No banner, normal tab title.</t>
  </si>
  <si>
    <t>DRV-003</t>
  </si>
  <si>
    <t>New offer arrives</t>
  </si>
  <si>
    <t>DRV + REQ</t>
  </si>
  <si>
    <t>Driver Dashboard open and untouched.</t>
  </si>
  <si>
    <t>1. From REQ book: pickup Head Office, destination Reem Island Office, Today, a slot within the next 4 hours, Staff, Kicks / Creta, 2 passengers.
2. Time how long until the card appears.</t>
  </si>
  <si>
    <t>Within about 20 seconds: a dark banner '1 open ride offer waiting for you. First to accept gets the trip.' and an offer card. No reload needed.</t>
  </si>
  <si>
    <t>DRV-004</t>
  </si>
  <si>
    <t>Offer card</t>
  </si>
  <si>
    <t>The offer from DRV-003.</t>
  </si>
  <si>
    <t>1. Read the card.</t>
  </si>
  <si>
    <t>- Reference, countdown starting near '14 min 59 s left' and ticking every second.
- 'Reem Island Office from Head Office', When, Type Staff, Vehicle Kicks / Creta, Passengers 2, Requested by &lt;REQ's name&gt;.
- Accept and Reject buttons. The requester's phone number is NOT shown.</t>
  </si>
  <si>
    <t>DRV-005</t>
  </si>
  <si>
    <t>Tab title</t>
  </si>
  <si>
    <t>One open offer.</t>
  </si>
  <si>
    <t>1. Switch to another tab and read this tab's title.</t>
  </si>
  <si>
    <t>'(1) New ride offer'. With two offers '(2) New ride offers'. Back to the normal title when there are none.</t>
  </si>
  <si>
    <t>DRV-006</t>
  </si>
  <si>
    <t>Sound</t>
  </si>
  <si>
    <t>Speakers on.</t>
  </si>
  <si>
    <t>1. Click 'Sound: off'.
2. Reload.
3. Have REQ book another eligible ride and wait 20 seconds.</t>
  </si>
  <si>
    <t>A two-tone chime plays on switching on; the button reads 'Sound: on' and stays on after reload. The chime plays again when the offer count rises, and not on later polls while the count is unchanged.</t>
  </si>
  <si>
    <t>DRV-007</t>
  </si>
  <si>
    <t>Countdown</t>
  </si>
  <si>
    <t>An open offer; wait until under 1 minute is left (about 14 minutes).</t>
  </si>
  <si>
    <t>1. Watch the last minute and past zero.</t>
  </si>
  <si>
    <t>Highlighted as urgent from 60 seconds. At 0 Accept is disabled. On the next poll the card disappears although the offer row stays Pending in the list.</t>
  </si>
  <si>
    <t>DRV-008</t>
  </si>
  <si>
    <t>Items offer card</t>
  </si>
  <si>
    <t>An open offer for an Items or Documents request (needs Mohammed Iqbal's own login), or mark Blocked.</t>
  </si>
  <si>
    <t>'Items: &lt;description&gt;' is shown instead of Passengers.</t>
  </si>
  <si>
    <t>DRV-009</t>
  </si>
  <si>
    <t>Offer for another driver</t>
  </si>
  <si>
    <t>A Yas Pathfinder request is Broadcasting (offer to Jomon only).</t>
  </si>
  <si>
    <t>1. Look at the Driver Dashboard as DRV.</t>
  </si>
  <si>
    <t>No card. A driver sees only offers made to their own driver record.</t>
  </si>
  <si>
    <t>DRV-010</t>
  </si>
  <si>
    <t>Refresh now</t>
  </si>
  <si>
    <t>1. Click 'Refresh now' right after a booking.</t>
  </si>
  <si>
    <t>The offer appears immediately.</t>
  </si>
  <si>
    <t>DRV-011</t>
  </si>
  <si>
    <t>Accept</t>
  </si>
  <si>
    <t>An open offer for a Kicks / Creta request from Al Maryah Tower. AUH-90123 is free.</t>
  </si>
  <si>
    <t>1. Click Accept.
2. Check TransportRequests, TripAssignments, RideOffers, DriversMaster, VehicleMaster, TripStatusHistory.</t>
  </si>
  <si>
    <t>- Button 'Accepting…'. The card moves to My trips today with badge Assigned and the note to tap On my way.
- Request: Allocated, AcceptedTrip set.
- Trip: Title TR-00nn, Assigned, Automatic, IsOverride No, Driver Rashid Al Mansoori, Vehicle AUH-90123, AcceptedOn = now.
- Rashid's offer: Accepted, RespondedOn set, Vehicle AUH-90123. Suresh's (and Arun's) offers: Closed, not Expired.
- Rashid Status On Trip. AUH-90123 VehStatus On Trip.
- History: ToStatus Assigned, 'Accepted from broadcast. Ref &lt;id&gt;'.</t>
  </si>
  <si>
    <t>DRV-012</t>
  </si>
  <si>
    <t>Accept - double click</t>
  </si>
  <si>
    <t>An open offer.</t>
  </si>
  <si>
    <t>1. Double-click Accept quickly.
2. Count the trips for that request.</t>
  </si>
  <si>
    <t>One trip only. The button disables after the first click.</t>
  </si>
  <si>
    <t>DRV-013</t>
  </si>
  <si>
    <t>Accept - no vehicle left</t>
  </si>
  <si>
    <t>An open Kicks / Creta offer on screen.</t>
  </si>
  <si>
    <t>1. In VehicleMaster set AUH-90123 to Under Maintenance.
2. Click Accept.
3. Read the notice word for word.
4. Set the vehicle back to Available.</t>
  </si>
  <si>
    <t>Nothing is assigned; the request stays Broadcasting; the card is removed. A plain notice is shown, not a red error. The cause is that no vehicle is free, so the notice should not say another driver took the trip. Record its exact wording.</t>
  </si>
  <si>
    <t>DRV-014</t>
  </si>
  <si>
    <t>Accept - offer closed</t>
  </si>
  <si>
    <t>An open offer on screen; do not refresh.</t>
  </si>
  <si>
    <t>1. In RideOffers set that offer's ResponseStatus to Closed by hand.
2. Click Accept.</t>
  </si>
  <si>
    <t>Plain notice 'This offer is no longer open' and the card is removed. No trip is created.</t>
  </si>
  <si>
    <t>DRV-015</t>
  </si>
  <si>
    <t>Accept - request already taken</t>
  </si>
  <si>
    <t>1. From Dispatch, assign that request manually to Suresh Nair with AUH-90123 (DSP-013 steps).
2. Back on the stale Driver page click Accept.</t>
  </si>
  <si>
    <t>Plain notice 'This offer is no longer open' or 'Taken by another driver'. No second trip.</t>
  </si>
  <si>
    <t>DRV-016</t>
  </si>
  <si>
    <t>Accept - race</t>
  </si>
  <si>
    <t>DRV + DRV2</t>
  </si>
  <si>
    <t>Suresh Nair has his own login (SET-004). Both drivers have the same offer on screen.</t>
  </si>
  <si>
    <t>1. Both click Accept at the same moment.
2. Count TripAssignments rows for the request.
3. Repeat five times.</t>
  </si>
  <si>
    <t>- Exactly one driver gets the trip every time.
- The other sees 'Taken by another driver. Another driver accepted that trip first. Nothing has been assigned to you.' with Dismiss, and the card disappears. No red error.
- Mark Blocked while all drivers share one login.</t>
  </si>
  <si>
    <t>DRV-017</t>
  </si>
  <si>
    <t>Reject - dialog</t>
  </si>
  <si>
    <t>1. Click Reject and read the dialog.</t>
  </si>
  <si>
    <t>'Reject this offer?' with three consequences. Reason is a dropdown: Already on a trip, Vehicle unavailable, Outside my shift, Personal reason, Other. Confirm is disabled until one is chosen.</t>
  </si>
  <si>
    <t>DRV-018</t>
  </si>
  <si>
    <t>Reject</t>
  </si>
  <si>
    <t>Reject dialog open.</t>
  </si>
  <si>
    <t>1. Choose 'Outside my shift' and confirm.
2. Check the offer and the request.</t>
  </si>
  <si>
    <t>Card and banner go. Offer: Rejected, RejectionReason 'Outside my shift', RespondedOn set. Request still Broadcasting; Suresh's offer still Pending.</t>
  </si>
  <si>
    <t>DRV-019</t>
  </si>
  <si>
    <t>Reject - Other</t>
  </si>
  <si>
    <t>1. Reject, choose Other, try to confirm with no note.
2. Type 'Vehicle has a flat tyre' and confirm.</t>
  </si>
  <si>
    <t>A required 'Please explain' box appears. Offer: RejectionReason Other, RejectionNotes 'Vehicle has a flat tyre'.</t>
  </si>
  <si>
    <t>DRV-020</t>
  </si>
  <si>
    <t>Reject - note with a colon</t>
  </si>
  <si>
    <t>1. Reject with Other and the note: Late: stuck at the airport
2. Read RejectionNotes.</t>
  </si>
  <si>
    <t>The whole note should be stored. Record what is actually stored.</t>
  </si>
  <si>
    <t>DRV-021</t>
  </si>
  <si>
    <t>On my way - no reading</t>
  </si>
  <si>
    <t>A trip card with status Assigned.</t>
  </si>
  <si>
    <t>1. Leave the opening odometer empty and click 'On my way'.</t>
  </si>
  <si>
    <t>Red banner 'Enter the opening odometer reading before tapping On my way.' Trip stays Assigned.</t>
  </si>
  <si>
    <t>DRV-022</t>
  </si>
  <si>
    <t>On my way</t>
  </si>
  <si>
    <t>1. Enter 50000 and click 'On my way'.
2. Check the trip and history.</t>
  </si>
  <si>
    <t>Badge En Route; next button 'Picked up'; no odometer field. Trip: En Route, ActualStartTime = now, OpeningReading 50000. History Assigned to En Route.</t>
  </si>
  <si>
    <t>DRV-023</t>
  </si>
  <si>
    <t>Picked up</t>
  </si>
  <si>
    <t>Trip En Route.</t>
  </si>
  <si>
    <t>1. Click 'Picked up'.</t>
  </si>
  <si>
    <t>Badge In Transit; ActualPickupTime = now; a closing odometer field and a 'Complete' button appear.</t>
  </si>
  <si>
    <t>DRV-024</t>
  </si>
  <si>
    <t>Complete - no reading</t>
  </si>
  <si>
    <t>Trip In Transit.</t>
  </si>
  <si>
    <t>1. Click Complete with the reading empty.</t>
  </si>
  <si>
    <t>Red banner 'Enter the closing odometer reading before tapping Complete.'</t>
  </si>
  <si>
    <t>DRV-025</t>
  </si>
  <si>
    <t>Complete</t>
  </si>
  <si>
    <t>Trip In Transit, opening reading 50000.</t>
  </si>
  <si>
    <t>1. Enter 50042 and click Complete.
2. Check the trip, request, Rashid and AUH-90123.</t>
  </si>
  <si>
    <t>- Card moves to Completed today with the finish time and 'Distance 42 km'.
- Trip: Completed, ActualDropTime = now, ClosingReading 50042. History In Transit to Completed.
- By design the web part does not touch the rest: until Flow 3 runs, the request still reads Allocated, Rashid still reads On Trip and AUH-90123 still reads On Trip.</t>
  </si>
  <si>
    <t>DRV-026</t>
  </si>
  <si>
    <t>After Complete, next booking</t>
  </si>
  <si>
    <t>DRV-025 just done; Flow 3 not built, so Rashid and AUH-90123 still read On Trip.</t>
  </si>
  <si>
    <t>1. Book: pickup Head Office, destination Reem Island Office, Today, a slot within the next 4 hours, Staff, Kicks / Creta, 2 passengers.
2. Check RideOffers.</t>
  </si>
  <si>
    <t>It still broadcasts to Rashid and Suresh. Eligibility is worked out from open trips, not from the Status columns, so the stale 'On Trip' does not block new work.</t>
  </si>
  <si>
    <t>DRV-027</t>
  </si>
  <si>
    <t>Complete - closing below opening</t>
  </si>
  <si>
    <t>1. Enter 49000 and click Complete.</t>
  </si>
  <si>
    <t>A closing reading lower than the opening one should be refused. Record whether it is accepted and what distance is shown.</t>
  </si>
  <si>
    <t>DRV-028</t>
  </si>
  <si>
    <t>Odometer input</t>
  </si>
  <si>
    <t>A trip waiting for a reading.</t>
  </si>
  <si>
    <t>1. Try letters, 12.9 and -5.</t>
  </si>
  <si>
    <t>Letters cannot be typed. Record what is stored for 12.9 and whether -5 is accepted.</t>
  </si>
  <si>
    <t>DRV-029</t>
  </si>
  <si>
    <t>Illegal transition</t>
  </si>
  <si>
    <t>The same Assigned trip open in two tabs.</t>
  </si>
  <si>
    <t>1. Tab 1: enter a reading, tap 'On my way'.
2. Tab 2 (not refreshed): enter a reading, tap 'On my way'.</t>
  </si>
  <si>
    <t>Tab 2: 'A trip that is En Route cannot be set to En Route.' Nothing is written twice.</t>
  </si>
  <si>
    <t>DRV-030</t>
  </si>
  <si>
    <t>Cancel trip</t>
  </si>
  <si>
    <t>A trip Rashid accepted, status Assigned.</t>
  </si>
  <si>
    <t>1. Click 'Cancel trip'; read the dialog.
2. Type a reason; click 'Cancel the trip'.
3. Check the trip, request, Rashid, AUH-90123 and history.</t>
  </si>
  <si>
    <t>- 'Cancel this trip?' with four consequences; reason required.
- Trip: Cancelled, CancellationReason = your text.
- Request: Awaiting Coordinator (not Cancelled, not re-broadcast).
- Rashid Available; AUH-90123 Available. History 'Cancelled by the driver: &lt;reason&gt;'.</t>
  </si>
  <si>
    <t>DRV-031</t>
  </si>
  <si>
    <t>Cancel trip - In Transit</t>
  </si>
  <si>
    <t>A trip that is In Transit.</t>
  </si>
  <si>
    <t>1. Use 'Cancel trip'.</t>
  </si>
  <si>
    <t>Record whether a trip with the passenger already on board can be cancelled by the driver.</t>
  </si>
  <si>
    <t>DRV-032</t>
  </si>
  <si>
    <t>Manual assignment</t>
  </si>
  <si>
    <t>COORD has assigned a request to Rashid (DSP-013).</t>
  </si>
  <si>
    <t>The trip is already in My trips today as Assigned. There was no offer card and no Accept step.</t>
  </si>
  <si>
    <t>DRV-033</t>
  </si>
  <si>
    <t>Driver Dashboard open.</t>
  </si>
  <si>
    <t>1. Go Offline in DevTools; wait for a poll; click a button.
2. Go back online.</t>
  </si>
  <si>
    <t>Red banner naming what failed and what to do, with a 'Reference:' id, dismissable. Recovers on the next poll.</t>
  </si>
  <si>
    <t>DRV-034</t>
  </si>
  <si>
    <t>1. Change the poll seconds.</t>
  </si>
  <si>
    <t>The empty-state text and footer show the new interval.</t>
  </si>
  <si>
    <t>Dispatch Dashboard</t>
  </si>
  <si>
    <t>The Coordinator's page.</t>
  </si>
  <si>
    <t>DSP-001</t>
  </si>
  <si>
    <t>COORD is not a driver. Before any new booking.</t>
  </si>
  <si>
    <t>1. Open Dispatch.</t>
  </si>
  <si>
    <t>Caption 'Last refreshed hh:mm. Counters filter the grids below.' Six counters, Ongoing trips grid, Pending requests grid, Availability tabs.</t>
  </si>
  <si>
    <t>DSP-002</t>
  </si>
  <si>
    <t>Counters - starting state</t>
  </si>
  <si>
    <t>No open trips (SET-007).</t>
  </si>
  <si>
    <t>1. Read the counters.</t>
  </si>
  <si>
    <t>- Ongoing trips 0. Pending requests 2 (FB-0020, FB-0021). Allocated pairs 0.
- Available drivers 5 (everyone except Ali Hassan, On Leave). Available vehicles 6.
- Completed trips: trips with status Completed and a drop time in October 2026; expect 1 if TR-0002 was completed normally. Record it.
- No amber 'need allocating' notice, because nothing is Awaiting Coordinator.</t>
  </si>
  <si>
    <t>DSP-003</t>
  </si>
  <si>
    <t>Pending grid</t>
  </si>
  <si>
    <t>Starting state.</t>
  </si>
  <si>
    <t>1. Read the Pending requests grid.</t>
  </si>
  <si>
    <t>- FB-0020 · 09/10/2026, 19:30 · Items or Documents · Kicks / Creta · Broadcasting.
- FB-0021 · 07/10/2026, 19:00 · Staff · Kicks / Creta · Broadcasting.
- Each row has Assign, Reject, Cancel. 'Ongoing trips' says 'No trips are under way.'</t>
  </si>
  <si>
    <t>DSP-004</t>
  </si>
  <si>
    <t>Expired broadcast is not flagged</t>
  </si>
  <si>
    <t>FB-0020 and FB-0021 have been Broadcasting since 7 and 8 Oct.</t>
  </si>
  <si>
    <t>1. Look for any sign on the dashboard that their offer windows have closed.</t>
  </si>
  <si>
    <t>A request nobody accepted should reach the Coordinator as an escalation. Without Flow 2 these two look like ordinary live broadcasts. Record what the Coordinator can see.</t>
  </si>
  <si>
    <t>DSP-005</t>
  </si>
  <si>
    <t>Availability - drivers</t>
  </si>
  <si>
    <t>1. Open the Drivers tab.</t>
  </si>
  <si>
    <t>- 'Drivers (6)'. Columns Driver, Status, Current task, Cap, Property.
- Ali Hassan On Leave; the rest Available. Suresh Nair cap 2; the rest cap 1.
- Property: Al Maryah Tower for Rashid, Suresh, Mohammed, Arun; Yas Island Resort for Jomon and Ali. Current task 'None' for all.</t>
  </si>
  <si>
    <t>DSP-006</t>
  </si>
  <si>
    <t>Availability - vehicles</t>
  </si>
  <si>
    <t>1. Open the Vehicles tab.</t>
  </si>
  <si>
    <t>'Vehicles (6)': AUH-45678 Black Nissan Pathfinder, AUH-56789 White Nissan Patrol, AUH-67890 White Isuzu NPR (Chiller Van), AUH-78901 White Isuzu NPR (Hot and Cold Van), AUH-89012 White Mitsubishi Canter (Animal Van), AUH-90123 Grey Nissan Kicks. All Available, task None.</t>
  </si>
  <si>
    <t>DSP-007</t>
  </si>
  <si>
    <t>Counter as filter</t>
  </si>
  <si>
    <t>1. Click 'Ongoing trips', then again.
2. Click 'Pending requests', then again.</t>
  </si>
  <si>
    <t>Ongoing hides the Pending grid; Pending hides the Ongoing grid; a second click restores. The active counter is marked.</t>
  </si>
  <si>
    <t>DSP-008</t>
  </si>
  <si>
    <t>1. Click 'Available drivers', then 'Available vehicles'.</t>
  </si>
  <si>
    <t>The Availability panel switches to Drivers, then Vehicles.</t>
  </si>
  <si>
    <t>DSP-009</t>
  </si>
  <si>
    <t>1. Click 'Completed trips', then 'Allocated pairs'.</t>
  </si>
  <si>
    <t>The design says every counter filters the grids. Record what changes on screen.</t>
  </si>
  <si>
    <t>DSP-010</t>
  </si>
  <si>
    <t>Completed period</t>
  </si>
  <si>
    <t>1. Choose 'Last 2 months' in 'Completed counter period'.
2. Read the dropdown label.
3. Try to return to 'This month'.</t>
  </si>
  <si>
    <t>The dropdown should show the chosen option and allow going back. Record what it shows after each choice.</t>
  </si>
  <si>
    <t>DSP-011</t>
  </si>
  <si>
    <t>Column filters</t>
  </si>
  <si>
    <t>Several pending requests of different types.</t>
  </si>
  <si>
    <t>1. Click the Request type header; tick Staff; press Escape.
2. Also filter Status.
3. Clear each.</t>
  </si>
  <si>
    <t>The popup lists only values present. Header shows '▼ filtered (1)'. Two filters combine. Escape and clicking outside close the popup.</t>
  </si>
  <si>
    <t>DSP-012</t>
  </si>
  <si>
    <t>Assign panel - FB-0020</t>
  </si>
  <si>
    <t>FB-0020 is Broadcasting.</t>
  </si>
  <si>
    <t>1. Click Assign on FB-0020.</t>
  </si>
  <si>
    <t>- Panel 'Assign FB-0020': Central Warehouse → Head Office · 09/10/2026, 19:30 · Kicks / Creta.
- No amber 'offer window closed' notice (that only shows for Awaiting Coordinator).
- Drivers: Rashid, Suresh, Jomon, Arun '· eligible'; Mohammed Iqbal and Ali Hassan '· Not qualified for this vehicle type'.
- Vehicles: AUH-90123 with no warning; the other five '· different vehicle type'.</t>
  </si>
  <si>
    <t>DSP-013</t>
  </si>
  <si>
    <t>Assign - in policy</t>
  </si>
  <si>
    <t>Assign panel open for FB-0020. Rashid and AUH-90123 are free.</t>
  </si>
  <si>
    <t>1. Select Rashid Al Mansoori and AUH-90123.
2. Click Assign.
3. Check the request, trip, offers, Rashid, AUH-90123 and history.</t>
  </si>
  <si>
    <t>- No override box. The panel closes; FB-0020 leaves Pending requests.
- Request: Allocated; AcceptedTrip now points to the NEW trip (it was TR-0003).
- Trip: TR-00nn, Assigned, AllocationMode Manual, AllocatedBy = COORD, IsOverride No.
- Any Pending offers on FB-0020: Withdrawn.
- Rashid On Trip; AUH-90123 On Trip. History 'Assigned manually. Ref &lt;id&gt;'.
- Allocated pairs 1; Available drivers 4; Available vehicles 5.</t>
  </si>
  <si>
    <t>DSP-014</t>
  </si>
  <si>
    <t>Assigned trip is not 'ongoing'</t>
  </si>
  <si>
    <t>Straight after DSP-013; the driver has not tapped On my way.</t>
  </si>
  <si>
    <t>1. Look for FB-0020 in Ongoing trips.</t>
  </si>
  <si>
    <t>Not listed (that grid is En Route and In Transit only). It appears once the driver taps On my way.</t>
  </si>
  <si>
    <t>DSP-015</t>
  </si>
  <si>
    <t>Ongoing grid</t>
  </si>
  <si>
    <t>COORD + DRV</t>
  </si>
  <si>
    <t>The driver taps On my way on the FB-0020 trip.</t>
  </si>
  <si>
    <t>1. Refresh Dispatch and read Ongoing trips and the Availability tabs.</t>
  </si>
  <si>
    <t>- Row: FB-0020 · Central Warehouse · Head Office · Rashid Al Mansoori · AUH-90123 · En Route · ETA 'not set'.
- Drivers tab: Rashid's current task 'Head Office (1 open)'. Vehicles tab: AUH-90123 current task 'Head Office'.</t>
  </si>
  <si>
    <t>DSP-016</t>
  </si>
  <si>
    <t>Assign - past request</t>
  </si>
  <si>
    <t>FB-0021's required time was 7 Oct.</t>
  </si>
  <si>
    <t>1. Open the Assign panel for FB-0021.</t>
  </si>
  <si>
    <t>Record whether the panel warns that the required time has already passed before letting you assign it.</t>
  </si>
  <si>
    <t>DSP-017</t>
  </si>
  <si>
    <t>Assign - override driver</t>
  </si>
  <si>
    <t>Assign panel open for a Kicks / Creta request.</t>
  </si>
  <si>
    <t>1. Select Mohammed Iqbal and AUH-90123.
2. Try Assign with no reason.
3. Type a reason and Assign.
4. Check the trip.</t>
  </si>
  <si>
    <t>Amber 'out-of-policy assignment' notice and a required 'Override reason' box. Assign is disabled until it is filled. Trip: IsOverride Yes, OverrideReason = your text.</t>
  </si>
  <si>
    <t>DSP-018</t>
  </si>
  <si>
    <t>Assign - override vehicle</t>
  </si>
  <si>
    <t>1. Select an eligible driver and AUH-56789 (Patrol).</t>
  </si>
  <si>
    <t>'different vehicle type' triggers the override reason box.</t>
  </si>
  <si>
    <t>DSP-019</t>
  </si>
  <si>
    <t>Assign - busy vehicle</t>
  </si>
  <si>
    <t>AUH-90123 is on a trip that is En Route.</t>
  </si>
  <si>
    <t>1. Open Assign for another Kicks / Creta request; select AUH-90123.</t>
  </si>
  <si>
    <t>It reads '· on an open trip' and choosing it requires an override reason.</t>
  </si>
  <si>
    <t>DSP-020</t>
  </si>
  <si>
    <t>Assign - driver on leave</t>
  </si>
  <si>
    <t>A Patrol request that escalated (ALC-003 or ALC-008).</t>
  </si>
  <si>
    <t>1. Open its Assign panel and read Ali Hassan's line.
2. Select Ali Hassan with AUH-56789.</t>
  </si>
  <si>
    <t>Ali should carry a verdict that he is on leave, and assigning him should need an override reason. Record his line and whether a reason is demanded.</t>
  </si>
  <si>
    <t>DSP-021</t>
  </si>
  <si>
    <t>Assign - expired licence</t>
  </si>
  <si>
    <t>A Kicks / Creta request required on or after 10 Oct 2026.</t>
  </si>
  <si>
    <t>1. Open its Assign panel and read Arun Prasad's line.</t>
  </si>
  <si>
    <t>'Licence expires before the trip ends'. Choosing him needs an override reason.</t>
  </si>
  <si>
    <t>DSP-022</t>
  </si>
  <si>
    <t>Assign - driver on an Assigned trip</t>
  </si>
  <si>
    <t>Rashid (cap 1) holds a trip that is Assigned, not yet En Route.</t>
  </si>
  <si>
    <t>1. Open Assign for another request and read Rashid's line.</t>
  </si>
  <si>
    <t>He should read 'Already at the concurrent-trip cap'. Record what is shown.</t>
  </si>
  <si>
    <t>DSP-023</t>
  </si>
  <si>
    <t>Assign - escalated request</t>
  </si>
  <si>
    <t>A request that escalated at once because no vehicle was free (ALC-003, Patrol from Head Office).</t>
  </si>
  <si>
    <t>1. Open its Assign panel and read the amber notice.</t>
  </si>
  <si>
    <t>It should explain that no vehicle or driver was available. Record the wording: the notice begins 'The offer window closed with nobody accepting', although no offer was ever made.</t>
  </si>
  <si>
    <t>DSP-024</t>
  </si>
  <si>
    <t>Assign - declined list</t>
  </si>
  <si>
    <t>A request where Rashid rejected his offer and Flow 2 then expired it (or set its ReqStatus to Awaiting Coordinator by hand).</t>
  </si>
  <si>
    <t>1. Open its Assign panel.</t>
  </si>
  <si>
    <t>The amber notice lists 'Rashid Al Mansoori declined: &lt;reason&gt;' with any note.</t>
  </si>
  <si>
    <t>DSP-025</t>
  </si>
  <si>
    <t>Assign - stale row</t>
  </si>
  <si>
    <t>Dispatch open and not refreshed; a driver accepts the request meanwhile.</t>
  </si>
  <si>
    <t>1. Assign on the stale row.</t>
  </si>
  <si>
    <t>Error 'This request has already been allocated.' No second trip.</t>
  </si>
  <si>
    <t>DSP-026</t>
  </si>
  <si>
    <t>Assign panel - close</t>
  </si>
  <si>
    <t>Panel open.</t>
  </si>
  <si>
    <t>1. Click Close or Cancel.</t>
  </si>
  <si>
    <t>Closes with nothing written.</t>
  </si>
  <si>
    <t>DSP-027</t>
  </si>
  <si>
    <t>Reject request</t>
  </si>
  <si>
    <t>A pending request of REQ's with Pending offers.</t>
  </si>
  <si>
    <t>1. Click Reject; read the dialog.
2. Type a reason; confirm.
3. Check the row and its offers.
4. Open it in My Bookings as REQ.</t>
  </si>
  <si>
    <t>- 'Reject this request?' names the reference and lists three consequences; reason required.
- Row leaves the grid. Request: Rejected, RejectionReason = your text. Pending offers: Withdrawn.
- My Bookings: 'This request was declined: &lt;reason&gt;'.</t>
  </si>
  <si>
    <t>DSP-028</t>
  </si>
  <si>
    <t>Reject - stale row</t>
  </si>
  <si>
    <t>Not refreshed; a driver accepts meanwhile.</t>
  </si>
  <si>
    <t>1. Reject on the stale row.</t>
  </si>
  <si>
    <t>Error 'An allocated request cannot be rejected - cancel it instead.'</t>
  </si>
  <si>
    <t>DSP-029</t>
  </si>
  <si>
    <t>Cancel request</t>
  </si>
  <si>
    <t>FB-0021 is still Broadcasting.</t>
  </si>
  <si>
    <t>1. Click Cancel on FB-0021; read the dialog.
2. Type 'Required time has passed'; confirm.
3. Check the row and its offers.</t>
  </si>
  <si>
    <t>- 'Cancel this request?' with four consequences; reason required.
- FB-0021: Cancelled, CancellationReason set. Its Pending offers: Withdrawn.
- Pending requests counter drops by one.</t>
  </si>
  <si>
    <t>DSP-030</t>
  </si>
  <si>
    <t>Cancel an allocated request</t>
  </si>
  <si>
    <t>An Allocated request; REQ has used 'Ask to cancel' (MYB-012).</t>
  </si>
  <si>
    <t>1. Look on Dispatch for any way to cancel it or its trip.</t>
  </si>
  <si>
    <t>ARCHITECTURE section 8 says the Coordinator can cancel a request and its trip, freeing driver and vehicle. Record whether the dashboard offers this once a request is Allocated.</t>
  </si>
  <si>
    <t>DSP-031</t>
  </si>
  <si>
    <t>Reassign</t>
  </si>
  <si>
    <t>A trip that is Assigned or En Route.</t>
  </si>
  <si>
    <t>1. Look for a Reassign action.</t>
  </si>
  <si>
    <t>ARCHITECTURE section 8 describes Reassign. Record whether it exists in the interface.</t>
  </si>
  <si>
    <t>DSP-032</t>
  </si>
  <si>
    <t>Set ETA</t>
  </si>
  <si>
    <t>A trip in Ongoing trips showing ETA 'not set'.</t>
  </si>
  <si>
    <t>1. Look for a way to set the ETA.</t>
  </si>
  <si>
    <t>ARCHITECTURE section 8 describes Set ETA. Record whether it exists in the interface.</t>
  </si>
  <si>
    <t>DSP-033</t>
  </si>
  <si>
    <t>Held requests</t>
  </si>
  <si>
    <t>A Held advance booking exists (ALC-014).</t>
  </si>
  <si>
    <t>1. Look for it anywhere on Dispatch.</t>
  </si>
  <si>
    <t>Record whether the Coordinator can see Held requests.</t>
  </si>
  <si>
    <t>DSP-034</t>
  </si>
  <si>
    <t>After a driver cancels</t>
  </si>
  <si>
    <t>DRV-030 done.</t>
  </si>
  <si>
    <t>1. Refresh; find the request; open Assign.</t>
  </si>
  <si>
    <t>Back in Pending requests, pinned at the top with an amber edge and 'Awaiting Coordinator', and the amber '1 request need allocating' notice shows. It can be assigned again.</t>
  </si>
  <si>
    <t>DSP-035</t>
  </si>
  <si>
    <t>DRV-025 done; Flow 3 not built.</t>
  </si>
  <si>
    <t>1. Refresh; read the counters and Availability tabs.</t>
  </si>
  <si>
    <t>The trip leaves Ongoing trips and Completed trips rises. The counters recover (they are worked out from open trips), but the Status badges in the Availability tabs still read On Trip for Rashid and AUH-90123 until Flow 3 or Flow 6 resets them.</t>
  </si>
  <si>
    <t>DSP-036</t>
  </si>
  <si>
    <t>Dispatch open.</t>
  </si>
  <si>
    <t>1. Book from another browser; wait up to 60 seconds.</t>
  </si>
  <si>
    <t>The new request appears and 'Last refreshed' moves on.</t>
  </si>
  <si>
    <t>DSP-037</t>
  </si>
  <si>
    <t>1. Go Offline; click Refresh; go online; Refresh.</t>
  </si>
  <si>
    <t>Red banner that the dashboard could not be loaded, warning not to allocate from stale data, with a Reference id. Recovers.</t>
  </si>
  <si>
    <t>DSP-038</t>
  </si>
  <si>
    <t>1. Change the refresh seconds.</t>
  </si>
  <si>
    <t>The dashboard refreshes at the new interval.</t>
  </si>
  <si>
    <t>Fleet Reports</t>
  </si>
  <si>
    <t>The eight reports and their exports. Run this after the others so there is data to report on.</t>
  </si>
  <si>
    <t>RPT-001</t>
  </si>
  <si>
    <t>1. Open Fleet Reports.</t>
  </si>
  <si>
    <t>Filter bar From, To, Property, Request type, Vehicle type, Run report. Eight report buttons. 'No report has been run yet'.</t>
  </si>
  <si>
    <t>RPT-002</t>
  </si>
  <si>
    <t>Default range</t>
  </si>
  <si>
    <t>1. Read the default From and To.</t>
  </si>
  <si>
    <t>Should be the 1st and last day of the current month. Record the dates shown.</t>
  </si>
  <si>
    <t>RPT-003</t>
  </si>
  <si>
    <t>Dropdowns</t>
  </si>
  <si>
    <t>1. Open Property, Request type and Vehicle type.</t>
  </si>
  <si>
    <t>Property: All properties, Al Maryah Tower, Yas Island Resort, Khalifa Industrial Park. Request type: the three types. Vehicle type: all eight.</t>
  </si>
  <si>
    <t>RPT-004</t>
  </si>
  <si>
    <t>Request fulfilment</t>
  </si>
  <si>
    <t>From 01 Oct 2026, To 31 Oct 2026.</t>
  </si>
  <si>
    <t>1. Click 'Request fulfilment'.
2. Compare with TransportRequests grouped by ReqStatus.</t>
  </si>
  <si>
    <t>Raised = requests created in the range. Allocated = Allocated + Completed. Escalated = Awaiting Coordinator. Rejected and Cancelled as in the list. Baseline before testing was Raised 3, Allocated 1 (SET-010).</t>
  </si>
  <si>
    <t>RPT-005</t>
  </si>
  <si>
    <t>Trip summary</t>
  </si>
  <si>
    <t>1. Click 'Trip summary'.
2. Compare with TripAssignments.</t>
  </si>
  <si>
    <t>One row per trip created in the range: Trip, Request, Required, Driver, Vehicle, Status, Distance (closing minus opening, blank if unfinished). The header shows 'N rows · generated &lt;time&gt; · live data'.</t>
  </si>
  <si>
    <t>RPT-006</t>
  </si>
  <si>
    <t>Vehicle utilisation</t>
  </si>
  <si>
    <t>1. Click 'Vehicle utilisation'.</t>
  </si>
  <si>
    <t>One row per vehicle used, with trips, hours between On my way and Complete, and distance. After the tests above AUH-90123 carries nearly all of it.</t>
  </si>
  <si>
    <t>RPT-007</t>
  </si>
  <si>
    <t>Driver utilisation</t>
  </si>
  <si>
    <t>1. Click 'Driver utilisation'.</t>
  </si>
  <si>
    <t>One row per driver with trips, hours and trips per day (trips divided by 31).</t>
  </si>
  <si>
    <t>RPT-008</t>
  </si>
  <si>
    <t>Broadcast effectiveness</t>
  </si>
  <si>
    <t>1. Click 'Broadcast effectiveness'.
2. Count trips by AllocationMode in the list.</t>
  </si>
  <si>
    <t>Auto-allocated = trips with AllocationMode Automatic; Manually assigned = Manual; Escalated = requests now Awaiting Coordinator; Escalation rate = escalated / raised; Median seconds to first accept from the Accepted offers.</t>
  </si>
  <si>
    <t>RPT-009</t>
  </si>
  <si>
    <t>Driver response behaviour</t>
  </si>
  <si>
    <t>1. Click 'Driver response behaviour'.
2. Compare with RideOffers grouped by Driver and ResponseStatus.</t>
  </si>
  <si>
    <t>One row per driver offered anything: Offers received, Accepted, Rejected, Expired, most common rejection reason. Suresh and Arun show offers with nothing accepted, because nobody can sign in as them.</t>
  </si>
  <si>
    <t>RPT-010</t>
  </si>
  <si>
    <t>Rejection and cancellation</t>
  </si>
  <si>
    <t>1. Click 'Rejection and cancellation analysis'.</t>
  </si>
  <si>
    <t>One row per rejection reason used by drivers, plus 'Cancelled by requester or Coordinator' = number of Cancelled requests, largest first.</t>
  </si>
  <si>
    <t>RPT-011</t>
  </si>
  <si>
    <t>Demand by time and route</t>
  </si>
  <si>
    <t>From 01 Oct 2026, To 31 Oct 2026. Before new bookings.</t>
  </si>
  <si>
    <t>1. Click 'Demand by time and route'.</t>
  </si>
  <si>
    <t>At the start: one row, 19:00, Requests 3, most common route 'Head Office to Yas Mall'. New bookings add rows for their hours.</t>
  </si>
  <si>
    <t>RPT-012</t>
  </si>
  <si>
    <t>Filter - property</t>
  </si>
  <si>
    <t>Requests exist for more than one property.</t>
  </si>
  <si>
    <t>1. Set Property to Yas Island Resort; run 'Request fulfilment'.</t>
  </si>
  <si>
    <t>Raised counts only Yas Island Resort requests.</t>
  </si>
  <si>
    <t>RPT-013</t>
  </si>
  <si>
    <t>Filter - request type</t>
  </si>
  <si>
    <t>1. Set Request type to Items or Documents; run 'Request fulfilment'.</t>
  </si>
  <si>
    <t>Raised counts only Items or Documents requests (FB-0020 plus any you created).</t>
  </si>
  <si>
    <t>RPT-014</t>
  </si>
  <si>
    <t>Filter - vehicle type</t>
  </si>
  <si>
    <t>1. Set Vehicle type to Chiller Van; run 'Trip summary'.</t>
  </si>
  <si>
    <t>Only trips whose request asked for a Chiller Van.</t>
  </si>
  <si>
    <t>RPT-015</t>
  </si>
  <si>
    <t>Range - too long</t>
  </si>
  <si>
    <t>1. Set From 13 months before To.</t>
  </si>
  <si>
    <t>'The range cannot be longer than 12 months.' under To; Run report disabled.</t>
  </si>
  <si>
    <t>RPT-016</t>
  </si>
  <si>
    <t>Range - end before start</t>
  </si>
  <si>
    <t>1. Set To before From; Run report.</t>
  </si>
  <si>
    <t>Red banner 'The end date is not after the start date. Pick an end date later than the start date.'</t>
  </si>
  <si>
    <t>RPT-017</t>
  </si>
  <si>
    <t>Range - empty</t>
  </si>
  <si>
    <t>1. Clear From; Run report.</t>
  </si>
  <si>
    <t>An error message, not a blank page.</t>
  </si>
  <si>
    <t>RPT-018</t>
  </si>
  <si>
    <t>Range - no data</t>
  </si>
  <si>
    <t>1. Set September 2024; run 'Trip summary'.</t>
  </si>
  <si>
    <t>'0 rows' and 'No data for that period and those filters.'</t>
  </si>
  <si>
    <t>RPT-019</t>
  </si>
  <si>
    <t>Export - Excel</t>
  </si>
  <si>
    <t>A report with rows on screen.</t>
  </si>
  <si>
    <t>1. Click 'Export to Excel'; open the file.</t>
  </si>
  <si>
    <t>&lt;ReportKey&gt;-&lt;yyyymmdd&gt;-&lt;hhmm&gt;.xls downloads and opens (Excel may warn about the format). Bold header, sheet named after the report, numbers as numbers.</t>
  </si>
  <si>
    <t>RPT-020</t>
  </si>
  <si>
    <t>Export - CSV</t>
  </si>
  <si>
    <t>1. Click 'Export to CSV'; open in Excel and Notepad.</t>
  </si>
  <si>
    <t>Same columns and rows as the screen.</t>
  </si>
  <si>
    <t>RPT-021</t>
  </si>
  <si>
    <t>Export - special characters</t>
  </si>
  <si>
    <t>'Demand by time and route' or 'Trip summary' showing 'Kicks / Creta' or 'Old Depot (closed)' style text.</t>
  </si>
  <si>
    <t>1. Export both ways.</t>
  </si>
  <si>
    <t>Slashes, brackets, commas and ampersands come through unchanged.</t>
  </si>
  <si>
    <t>RPT-022</t>
  </si>
  <si>
    <t>Result grid</t>
  </si>
  <si>
    <t>Trip summary on screen.</t>
  </si>
  <si>
    <t>1. Filter the Driver column; look at Distance.</t>
  </si>
  <si>
    <t>Text columns filter from a list; numeric columns are right-aligned with no filter.</t>
  </si>
  <si>
    <t>Across web parts</t>
  </si>
  <si>
    <t>Roles, full journeys through several web parts, permissions, and look and feel.</t>
  </si>
  <si>
    <t>ROL-001</t>
  </si>
  <si>
    <t>Requester by default</t>
  </si>
  <si>
    <t>A login in no FM group</t>
  </si>
  <si>
    <t>If you have such a login.</t>
  </si>
  <si>
    <t>1. Open Book a Ride and go to step 4.</t>
  </si>
  <si>
    <t>The wizard works. Anyone who can open the site is treated as a requester.</t>
  </si>
  <si>
    <t>ROL-002</t>
  </si>
  <si>
    <t>Not a driver</t>
  </si>
  <si>
    <t>REQ has no DriversMaster row.</t>
  </si>
  <si>
    <t>'You are not set up as a driver', with the explanation that the account is not linked to a DriversMaster record.</t>
  </si>
  <si>
    <t>ROL-003</t>
  </si>
  <si>
    <t>Which driver am I</t>
  </si>
  <si>
    <t>SET-004 done.</t>
  </si>
  <si>
    <t>1. Open the Driver Dashboard as DRV.
2. From REQ, book: pickup Yas Resort Reception, destination Yas Mall, today within 4 hours, Client or Client Guest, Pathfinder, 2 passengers.
3. Check RideOffers, then the Driver Dashboard.</t>
  </si>
  <si>
    <t>RideOffers gets one Pending offer, for Jomon Varghese. If all drivers share DRV's login, the Driver Dashboard still shows NO offer, which proves the login acts as one driver only. Cancel the request from Dispatch afterwards.</t>
  </si>
  <si>
    <t>ROL-004</t>
  </si>
  <si>
    <t>Restricted report</t>
  </si>
  <si>
    <t>A login not in FM Admins or FM Coordinators</t>
  </si>
  <si>
    <t>1. Open Fleet Reports and count the report buttons.</t>
  </si>
  <si>
    <t>7 reports. 'Driver response behaviour' is not shown.</t>
  </si>
  <si>
    <t>ROL-005</t>
  </si>
  <si>
    <t>COORD is in FM Admins or FM Coordinators.</t>
  </si>
  <si>
    <t>1. Open Fleet Reports and click 'Driver response behaviour'.</t>
  </si>
  <si>
    <t>8 reports. This one is marked 'Restricted · shows individual acceptance rates' and shows an amber notice above its results.</t>
  </si>
  <si>
    <t>ROL-006</t>
  </si>
  <si>
    <t>Page gating</t>
  </si>
  <si>
    <t>REQ is not a Coordinator.</t>
  </si>
  <si>
    <t>1. Open the Dispatch Dashboard.
2. Open Fleet Reports.</t>
  </si>
  <si>
    <t>By design a requester uses only Book a Ride and My Bookings. Record what REQ can see and do on each page (does the dashboard load, are Assign / Reject / Cancel shown, can reports run).</t>
  </si>
  <si>
    <t>ROL-007</t>
  </si>
  <si>
    <t>Property scoping</t>
  </si>
  <si>
    <t>COORD has no DriversMaster row.</t>
  </si>
  <si>
    <t>1. Open Dispatch and read the Availability tabs.</t>
  </si>
  <si>
    <t>All three properties are shown: Drivers (6), Vehicles (6).</t>
  </si>
  <si>
    <t>ROL-008</t>
  </si>
  <si>
    <t>DRV is Rashid, home property Al Maryah Tower.</t>
  </si>
  <si>
    <t>1. Open Dispatch as DRV and read the Availability tabs and the Pending grid.</t>
  </si>
  <si>
    <t>The page is scoped to Rashid's properties. With home-only links: Drivers (4) - Rashid, Suresh, Mohammed, Arun; Vehicles (2) - AUH-67890 and AUH-90123; only Al Maryah Tower requests. Yas and Khalifa are hidden. A Coordinator must therefore not use a driver login.</t>
  </si>
  <si>
    <t>ROL-009</t>
  </si>
  <si>
    <t>Bootstrap</t>
  </si>
  <si>
    <t>A page with two or more of the web parts.</t>
  </si>
  <si>
    <t>1. Open it with the network tab filtered on 'currentuser'.</t>
  </si>
  <si>
    <t>The user and group lookups happen once for the page, not once per web part.</t>
  </si>
  <si>
    <t>E2E-001</t>
  </si>
  <si>
    <t>Automatic, start to finish</t>
  </si>
  <si>
    <t>No open trips. Mark email lines N/A if flows are not built.</t>
  </si>
  <si>
    <t>1. REQ books: pickup Head Office, destination Reem Island Office, Today, a slot within the next 4 hours, Staff, Kicks / Creta, 2 passengers.
2. Rashid sees the offer within 20 seconds and accepts.
3. REQ's screen moves to Booking confirmed.
4. Rashid: On my way (50000), Picked up, Complete (50042).
5. REQ watches Track my ride.
6. Wait 10 minutes; check Dispatch and Trip summary.</t>
  </si>
  <si>
    <t>- Trip Completed with both readings, 42 km. Offers: Rashid Accepted, Suresh Closed.
- Four TripStatusHistory rows.
- With flows: request Completed, Rashid and AUH-90123 Available, one Daily Trip Sheet row, six emails.
- Without flows: request stays Allocated; Rashid and AUH-90123 read On Trip.</t>
  </si>
  <si>
    <t>E2E-002</t>
  </si>
  <si>
    <t>Existing request, manual, start to finish</t>
  </si>
  <si>
    <t>1. COORD assigns FB-0020 to Rashid with AUH-90123 (DSP-013).
2. Rashid sees it with no Accept step and runs the three taps.
3. Run 'Broadcast effectiveness'.</t>
  </si>
  <si>
    <t>FB-0020 goes Broadcasting → Allocated; trip Manual → Completed. 'Manually assigned' rises by one.</t>
  </si>
  <si>
    <t>E2E-003</t>
  </si>
  <si>
    <t>Escalation then manual</t>
  </si>
  <si>
    <t>REQ + COORD</t>
  </si>
  <si>
    <t>1. REQ books Patrol from Head Office to Yas Mall.
2. COORD opens Assign, picks Rashid (qualified for Patrol) and AUH-56789 (Patrol, based at Yas).
3. Rashid completes it.</t>
  </si>
  <si>
    <t>Escalates at once. Rashid reads eligible and AUH-56789 has no warning (the panel does not compare the vehicle's property), so no override reason is asked. The trip runs normally.</t>
  </si>
  <si>
    <t>E2E-004</t>
  </si>
  <si>
    <t>Others</t>
  </si>
  <si>
    <t>1. REQ books Others with 'Flatbed truck'.
2. COORD opens Assign.</t>
  </si>
  <si>
    <t>Pinned at once. The header shows 'Others (Flatbed truck)'. Every vehicle reads 'different vehicle type' and every driver 'Not qualified', so an override reason is always needed.</t>
  </si>
  <si>
    <t>E2E-005</t>
  </si>
  <si>
    <t>Driver cancels, Coordinator reassigns</t>
  </si>
  <si>
    <t>REQ + DRV + COORD</t>
  </si>
  <si>
    <t>1. REQ books; Rashid accepts; Rashid cancels with a reason.
2. REQ opens My Bookings.
3. COORD assigns Suresh Nair with AUH-90123.</t>
  </si>
  <si>
    <t>After the cancel: request Awaiting Coordinator, first trip Cancelled, Rashid and AUH-90123 free. My Bookings says the Coordinator is assigning someone. A second trip row is created for Suresh. (Nobody can drive it until Suresh has his own login.)</t>
  </si>
  <si>
    <t>E2E-006</t>
  </si>
  <si>
    <t>Requester cancels a Held booking</t>
  </si>
  <si>
    <t>1. Book for tomorrow.
2. Cancel it in My Bookings.</t>
  </si>
  <si>
    <t>Cancelled with the reason; never offered to anyone; counted in 'Rejection and cancellation analysis'.</t>
  </si>
  <si>
    <t>E2E-007</t>
  </si>
  <si>
    <t>Ask to cancel after allocation</t>
  </si>
  <si>
    <t>An Allocated request.</t>
  </si>
  <si>
    <t>1. REQ uses 'Ask to cancel'.
2. COORD tries to find and cancel it on Dispatch.</t>
  </si>
  <si>
    <t>Record how the Coordinator learns of it and whether they can finish the cancellation (see DSP-030).</t>
  </si>
  <si>
    <t>E2E-008</t>
  </si>
  <si>
    <t>Coordinator rejects</t>
  </si>
  <si>
    <t>COORD + REQ</t>
  </si>
  <si>
    <t>A pending request.</t>
  </si>
  <si>
    <t>1. COORD rejects with a reason; REQ opens My Bookings.</t>
  </si>
  <si>
    <t>Rejected; offers Withdrawn; REQ sees the reason.</t>
  </si>
  <si>
    <t>E2E-009</t>
  </si>
  <si>
    <t>Advance booking cycle</t>
  </si>
  <si>
    <t>Flow 5 on.</t>
  </si>
  <si>
    <t>1. Book for tomorrow morning.
2. Four hours before, check the row.
3. Open Dispatch.
4. Rashid accepts and completes.</t>
  </si>
  <si>
    <t>Held → Submitted (Flow 5) → Broadcasting (Dispatch sweep) → normal path. Arun is not offered it.</t>
  </si>
  <si>
    <t>E2E-010</t>
  </si>
  <si>
    <t>Three properties in one sitting</t>
  </si>
  <si>
    <t>No open trips.</t>
  </si>
  <si>
    <t>1. Book Kicks / Creta from Head Office (Staff).
2. Book Pathfinder from Yas Resort Reception (Client).
3. Book Kicks / Creta from Khalifa Admin Block (Staff).</t>
  </si>
  <si>
    <t>Offers to Rashid and Suresh; an offer to Jomon; an immediate escalation. Three different references, each with its own offers.</t>
  </si>
  <si>
    <t>PRM-001</t>
  </si>
  <si>
    <t>Requester write path</t>
  </si>
  <si>
    <t>REQ is in FM Requesters only, with list permissions as configured.</t>
  </si>
  <si>
    <t>1. Book: pickup Head Office, destination Reem Island Office, Today, a slot within the next 4 hours, Staff, Kicks / Creta, 2 passengers.
2. Check the row and RideOffers.</t>
  </si>
  <si>
    <t>Saved AND offers created. The broadcast runs in the requester's browser, so REQ must be able to read DriversMaster, VehicleMaster, DLClientMaster, AvailabilityBlocks, TripAssignments and AllocationRules and add to RideOffers. Record any error or a request left on Submitted.</t>
  </si>
  <si>
    <t>PRM-002</t>
  </si>
  <si>
    <t>Driver write path</t>
  </si>
  <si>
    <t>FM Drivers has Read only on DriversMaster and VehicleMaster.</t>
  </si>
  <si>
    <t>1. Accept an offer.
2. Check the trip, Rashid and AUH-90123.</t>
  </si>
  <si>
    <t>Build Guide 2.4 warns the claim succeeds but the two status writes fail. Record the message and the state left behind, then grant Contribute and repeat.</t>
  </si>
  <si>
    <t>PRM-003</t>
  </si>
  <si>
    <t>Missing permission message</t>
  </si>
  <si>
    <t>Give DRV Read only on RideOffers.</t>
  </si>
  <si>
    <t>1. Reject an offer.</t>
  </si>
  <si>
    <t>'You do not have permission to write to the RideOffers list. Ask a Fleet Admin to grant your group Contribute on RideOffers. Nothing was saved.' Restore afterwards.</t>
  </si>
  <si>
    <t>PRM-004</t>
  </si>
  <si>
    <t>Requester privacy</t>
  </si>
  <si>
    <t>Network tab recording.</t>
  </si>
  <si>
    <t>1. Go through the wizard up to (not including) Submit; list the lists requested.</t>
  </si>
  <si>
    <t>Only Locations, VehicleTypes and user or group endpoints. Nothing about drivers, vehicles or availability.</t>
  </si>
  <si>
    <t>PRM-005</t>
  </si>
  <si>
    <t>Other people's requests</t>
  </si>
  <si>
    <t>A second requester login</t>
  </si>
  <si>
    <t>1. Open the TransportRequests list directly.</t>
  </si>
  <si>
    <t>A requester should see only their own rows. Record whether Noreply Myhub's FB-0019 to FB-0021 are visible.</t>
  </si>
  <si>
    <t>PRM-006</t>
  </si>
  <si>
    <t>Offer tampering</t>
  </si>
  <si>
    <t>Accepted risk, ARCHITECTURE section 13.</t>
  </si>
  <si>
    <t>1. Open RideOffers and edit Suresh Nair's offer row.</t>
  </si>
  <si>
    <t>Contribute allows it. Confirm the business has accepted this and that version history records it.</t>
  </si>
  <si>
    <t>PRM-008</t>
  </si>
  <si>
    <t>Script injection</t>
  </si>
  <si>
    <t>1. Book with Remarks &lt;script&gt;alert(1)&lt;/script&gt; and Others text &lt;img src=x onerror=alert(1)&gt;.
2. Open it in My Bookings and the Assign panel.</t>
  </si>
  <si>
    <t>Shown as plain text. No alert.</t>
  </si>
  <si>
    <t>NFR-001</t>
  </si>
  <si>
    <t>Keyboard</t>
  </si>
  <si>
    <t>Dispatch, no mouse.</t>
  </si>
  <si>
    <t>1. Tab through the page; open a filter with Enter, close with Escape; assign with the keyboard.</t>
  </si>
  <si>
    <t>Everything is reachable and operable with a visible focus ring.</t>
  </si>
  <si>
    <t>NFR-002</t>
  </si>
  <si>
    <t>Book a Ride, no mouse.</t>
  </si>
  <si>
    <t>1. Complete a booking.</t>
  </si>
  <si>
    <t>Location options, slots, tiles and buttons all work from the keyboard.</t>
  </si>
  <si>
    <t>NFR-003</t>
  </si>
  <si>
    <t>Colour is not the only signal</t>
  </si>
  <si>
    <t>Screenshots in greyscale.</t>
  </si>
  <si>
    <t>1. Check each page.</t>
  </si>
  <si>
    <t>Badges carry their word; a pinned row says 'Awaiting Coordinator'; a filtered column says 'filtered (n)'.</t>
  </si>
  <si>
    <t>NFR-004</t>
  </si>
  <si>
    <t>Contrast</t>
  </si>
  <si>
    <t>axe DevTools or similar.</t>
  </si>
  <si>
    <t>1. Scan each page.</t>
  </si>
  <si>
    <t>No WCAG 2.1 AA contrast failures. Record findings.</t>
  </si>
  <si>
    <t>NFR-005</t>
  </si>
  <si>
    <t>Screen reader</t>
  </si>
  <si>
    <t>Narrator or NVDA.</t>
  </si>
  <si>
    <t>1. Move through Dispatch and the Driver Dashboard.</t>
  </si>
  <si>
    <t>Grids announce captions, counters announce label and value, the offer banner is announced, dialogs read title and consequences.</t>
  </si>
  <si>
    <t>NFR-006</t>
  </si>
  <si>
    <t>Phone width</t>
  </si>
  <si>
    <t>DevTools at 360 px, or a real phone. Drivers use this on a phone.</t>
  </si>
  <si>
    <t>1. Open each page; run a trip through the three taps on the Driver Dashboard.</t>
  </si>
  <si>
    <t>No sideways page scroll; grids scroll inside themselves; buttons and the odometer field are easy to hit.</t>
  </si>
  <si>
    <t>NFR-007</t>
  </si>
  <si>
    <t>Time zone</t>
  </si>
  <si>
    <t>PC time zone not UTC+4.</t>
  </si>
  <si>
    <t>1. Compare FB-0019's Required time on My Bookings and in the list.</t>
  </si>
  <si>
    <t>The page shows 06/10/2026, 19:00 whatever the PC zone (the list stores 2026-10-06T15:00:00Z).</t>
  </si>
  <si>
    <t>NFR-008</t>
  </si>
  <si>
    <t>Loading states</t>
  </si>
  <si>
    <t>Network throttled to Slow 3G.</t>
  </si>
  <si>
    <t>1. Reload each page.</t>
  </si>
  <si>
    <t>A loading message that says what is loading.</t>
  </si>
  <si>
    <t>NFR-009</t>
  </si>
  <si>
    <t>Error banner</t>
  </si>
  <si>
    <t>Block requests to RideOffers in DevTools.</t>
  </si>
  <si>
    <t>1. Reload the Driver Dashboard.</t>
  </si>
  <si>
    <t>Red banner 'Your open offers could not be loaded...' with a Reference id. No blank page.</t>
  </si>
  <si>
    <t>NFR-010</t>
  </si>
  <si>
    <t>Missing rules list</t>
  </si>
  <si>
    <t>Block requests to AllocationRules in DevTools.</t>
  </si>
  <si>
    <t>1. Book a ride.</t>
  </si>
  <si>
    <t>The booking goes through on the default rule. Console: '[FleetPortal] AllocationRules could not be read; using defaults.'</t>
  </si>
  <si>
    <t>NFR-011</t>
  </si>
  <si>
    <t>Console</t>
  </si>
  <si>
    <t>1. Use each page for a few minutes.</t>
  </si>
  <si>
    <t>No uncaught errors. Record any '[FleetPortal]' warnings, especially about DLClientMaster column names.</t>
  </si>
  <si>
    <t>NFR-012</t>
  </si>
  <si>
    <t>Confirm dialogs</t>
  </si>
  <si>
    <t>1. Open every destructive action: requester cancel, driver reject, driver cancel, coordinator reject, coordinator cancel.</t>
  </si>
  <si>
    <t>Each is an in-page dialog with its consequences listed, a required reason and a Cancel button.</t>
  </si>
  <si>
    <t>NFR-013</t>
  </si>
  <si>
    <t>Browsers</t>
  </si>
  <si>
    <t>Edge, Chrome, a phone browser.</t>
  </si>
  <si>
    <t>1. Open the Driver Dashboard and Book a Ride in each.</t>
  </si>
  <si>
    <t>Both work, including the chime and tab title on desktop.</t>
  </si>
  <si>
    <t>#</t>
  </si>
  <si>
    <t>List</t>
  </si>
  <si>
    <t>Finding</t>
  </si>
  <si>
    <t>Why it matters</t>
  </si>
  <si>
    <t>Suggested action</t>
  </si>
  <si>
    <t>Confirm with step</t>
  </si>
  <si>
    <t>Confirmed? (Yes / No)</t>
  </si>
  <si>
    <t>Notes</t>
  </si>
  <si>
    <t>D-01</t>
  </si>
  <si>
    <t>DriversMaster</t>
  </si>
  <si>
    <t>All six drivers appear to share one login</t>
  </si>
  <si>
    <t>Every row shows 'Queinfotech aliakbar' in the person column. The dashboard picks one driver record per login, so only one driver can ever be operated, offers to the other five sit unseen, and the first-accept race cannot be tested.</t>
  </si>
  <si>
    <t>Give each driver their own account in UserAccount.</t>
  </si>
  <si>
    <t>D-02</t>
  </si>
  <si>
    <t>Locations</t>
  </si>
  <si>
    <t>Four locations have no Property</t>
  </si>
  <si>
    <t>Zayed International Airport T1 and T3, Cleveland Clinic Abu Dhabi and Downtown Abu Dhabi. A trip belongs to the pickup's property, so a normal requester cannot book a pickup from any of them; the booking is refused.</t>
  </si>
  <si>
    <t>Set a Property on them, or accept that they are destinations only.</t>
  </si>
  <si>
    <t>D-03</t>
  </si>
  <si>
    <t>DriversMaster / AvailabilityBlocks</t>
  </si>
  <si>
    <t>Ali Hassan may be offered work while on leave</t>
  </si>
  <si>
    <t>His Status is On Leave, but the engine excludes a driver only through an AvailabilityBlocks row. He is the only Yas driver qualified for Patrol, so a Yas Patrol booking would go to him.</t>
  </si>
  <si>
    <t>Add a Leave block for every driver on leave.</t>
  </si>
  <si>
    <t>D-04</t>
  </si>
  <si>
    <t>No driver is qualified for Hot and Cold Van, Animal Van or Others</t>
  </si>
  <si>
    <t>AUH-78901 and AUH-89012 exist but can never be allocated automatically. Requests for those types always go to the Coordinator.</t>
  </si>
  <si>
    <t>Add the qualifications to the right drivers.</t>
  </si>
  <si>
    <t>D-05</t>
  </si>
  <si>
    <t>VehicleMaster</t>
  </si>
  <si>
    <t>No Cargo Van exists</t>
  </si>
  <si>
    <t>Mohammed Iqbal is qualified for Cargo Van and the booking wizard offers it, but there is no such vehicle, so every Cargo Van request escalates.</t>
  </si>
  <si>
    <t>Add the vehicle or deactivate the type.</t>
  </si>
  <si>
    <t>D-06</t>
  </si>
  <si>
    <t>No driver is based at Khalifa Industrial Park</t>
  </si>
  <si>
    <t>Unless DLClientMaster links someone to it, every pickup from Khalifa Plant Gate 2 or Khalifa Admin Block escalates. No passenger vehicle is based there either.</t>
  </si>
  <si>
    <t>Add DLClientMaster links and vehicles as intended.</t>
  </si>
  <si>
    <t>D-07</t>
  </si>
  <si>
    <t>One vehicle of each type per property</t>
  </si>
  <si>
    <t>Al Maryah Tower has one Kicks / Creta and one Chiller Van; Yas has one Pathfinder and one Patrol. A single open trip therefore blocks that type at that property and the next request escalates.</t>
  </si>
  <si>
    <t>Expected with a fleet this small; be aware when reading escalation rates.</t>
  </si>
  <si>
    <t>D-08</t>
  </si>
  <si>
    <t>Rashid Al Mansoori is the default driver of all six vehicles</t>
  </si>
  <si>
    <t>Including four vans he is not qualified to drive and vehicles at two other properties. The default driver only decides which free vehicle is preferred on accept, so it does no harm, but it looks like placeholder data.</t>
  </si>
  <si>
    <t>Set real default drivers or clear the column.</t>
  </si>
  <si>
    <t>D-09</t>
  </si>
  <si>
    <t>Arun Prasad's licence expires on 10 Oct 2026</t>
  </si>
  <si>
    <t>From that date he is excluded from every broadcast. Useful as a licence test; a problem if he is a real driver.</t>
  </si>
  <si>
    <t>Renew the date if he should keep working.</t>
  </si>
  <si>
    <t>D-10</t>
  </si>
  <si>
    <t>TransportRequests</t>
  </si>
  <si>
    <t>FB-0020 and FB-0021 are stuck in Broadcasting</t>
  </si>
  <si>
    <t>Their offer windows closed on 8 and 7 Oct. Nothing in the web part moves a request on after the window; only Flow 2 does. The requester still sees 'finding you a driver'.</t>
  </si>
  <si>
    <t>Build Flow 2 first, or cancel them from Dispatch.</t>
  </si>
  <si>
    <t>D-11</t>
  </si>
  <si>
    <t>FB-0020 holds values the wizard cannot produce</t>
  </si>
  <si>
    <t>Items or Documents with vehicle type Kicks / Creta and 4 passengers, a ReleaseAt before its real release time, and an AcceptedTrip (TR-0003) while Broadcasting. Looks hand-edited during flow testing.</t>
  </si>
  <si>
    <t>Fine as test data; do not treat its numbers as real.</t>
  </si>
  <si>
    <t>D-12</t>
  </si>
  <si>
    <t>Two stale columns and a default on ItemDescription</t>
  </si>
  <si>
    <t>A second reference column and a second status column (always 'Submitted') are never written by the web part. ItemDescription reads 'Documents' on Staff requests.</t>
  </si>
  <si>
    <t>Hide or delete the two columns; remove the default.</t>
  </si>
  <si>
    <t>D-13</t>
  </si>
  <si>
    <t>DLClientMaster, AvailabilityBlocks, RideOffers, TripAssignments</t>
  </si>
  <si>
    <t>Not supplied</t>
  </si>
  <si>
    <t>Expected drivers in module 04 assume home-property-only links and no open trips. Send these four lists and I can replace the assumptions with exact figures.</t>
  </si>
  <si>
    <t>See SET-005 to SET-007.</t>
  </si>
  <si>
    <t>Note</t>
  </si>
  <si>
    <t>Source: the list data you pasted on 9 Oct 2026. Column meanings were inferred from the order of the pasted values; confirm anything that looks wrong against the lists.</t>
  </si>
  <si>
    <t>Area</t>
  </si>
  <si>
    <t>What I expect to go wrong</t>
  </si>
  <si>
    <t>Why (from reading the code)</t>
  </si>
  <si>
    <t>Where in the code</t>
  </si>
  <si>
    <t>R-01</t>
  </si>
  <si>
    <t>Cancelling while Broadcasting does nothing but says a driver accepted</t>
  </si>
  <si>
    <t>The screen offers 'Ask to cancel' for Broadcasting. The service only cancels Submitted, Held and Awaiting Coordinator; otherwise it returns the 'driver has already accepted' message. With no trip there is nothing to write.</t>
  </si>
  <si>
    <t>src/common/rules/statusTransitions.ts (cancellationNeedsCoordinator); src/common/services/DispatchService.ts (cancel)</t>
  </si>
  <si>
    <t>R-02</t>
  </si>
  <si>
    <t>Dispatch</t>
  </si>
  <si>
    <t>No way to cancel an Allocated request</t>
  </si>
  <si>
    <t>Cancel exists only on Pending rows; the Ongoing grid has no actions.</t>
  </si>
  <si>
    <t>src/webparts/dispatchDashboard/components/DispatchDashboard.tsx</t>
  </si>
  <si>
    <t>R-03</t>
  </si>
  <si>
    <t>Reassign is not reachable</t>
  </si>
  <si>
    <t>DispatchService.reassign has no caller.</t>
  </si>
  <si>
    <t>src/common/services/DispatchService.ts (reassign)</t>
  </si>
  <si>
    <t>R-04</t>
  </si>
  <si>
    <t>Set ETA is not reachable</t>
  </si>
  <si>
    <t>DispatchService.setEta has no caller, so ETA always reads 'not set'.</t>
  </si>
  <si>
    <t>src/common/services/DispatchService.ts (setEta)</t>
  </si>
  <si>
    <t>R-05</t>
  </si>
  <si>
    <t>An expired broadcast looks like a live one</t>
  </si>
  <si>
    <t>Nothing on the page compares OfferClosesAt with the current time, so without Flow 2 the Coordinator is never told.</t>
  </si>
  <si>
    <t>R-06</t>
  </si>
  <si>
    <t>Assign panel never shows the on-leave verdict</t>
  </si>
  <si>
    <t>It passes an empty list of availability blocks to the eligibility check and does not look at Status, so Ali Hassan can be assigned with no override reason.</t>
  </si>
  <si>
    <t>DispatchDashboard.tsx (AssignmentPanel, blocks: [])</t>
  </si>
  <si>
    <t>R-07</t>
  </si>
  <si>
    <t>Assign panel ignores trips that are only Assigned</t>
  </si>
  <si>
    <t>Its open-trip list is the Ongoing grid (En Route, In Transit), so a driver or vehicle on an Assigned trip is not flagged.</t>
  </si>
  <si>
    <t>DispatchDashboard.tsx (openTrips from snapshot.ongoingTrips)</t>
  </si>
  <si>
    <t>R-08</t>
  </si>
  <si>
    <t>Assign panel gives the wrong reason for an immediate escalation</t>
  </si>
  <si>
    <t>For any Awaiting Coordinator request the notice starts 'The offer window closed with nobody accepting', even when no offer was made.</t>
  </si>
  <si>
    <t>DispatchDashboard.tsx (AssignmentPanel notice)</t>
  </si>
  <si>
    <t>R-09</t>
  </si>
  <si>
    <t>Held requests are invisible</t>
  </si>
  <si>
    <t>The snapshot does not read Held.</t>
  </si>
  <si>
    <t>src/common/services/DispatchService.ts (getSnapshot)</t>
  </si>
  <si>
    <t>R-10</t>
  </si>
  <si>
    <t>Two counters do not filter</t>
  </si>
  <si>
    <t>Completed trips and Allocated pairs only highlight.</t>
  </si>
  <si>
    <t>DispatchDashboard.tsx (visibleTrips, visibleRequests)</t>
  </si>
  <si>
    <t>R-11</t>
  </si>
  <si>
    <t>Completed period dropdown always reads 'This month'</t>
  </si>
  <si>
    <t>Its value is bound to the period start, which is also the first option's value.</t>
  </si>
  <si>
    <t>DispatchDashboard.tsx (period Select)</t>
  </si>
  <si>
    <t>R-12</t>
  </si>
  <si>
    <t>A Coordinator who is also a driver sees only that driver's properties</t>
  </si>
  <si>
    <t>Property scope is taken from the driver record whenever one exists.</t>
  </si>
  <si>
    <t>src/common/services/UserService.ts (propertyIds)</t>
  </si>
  <si>
    <t>R-13</t>
  </si>
  <si>
    <t>'No vehicle' is shown with the 'another driver accepted' wording</t>
  </si>
  <si>
    <t>Every non-success result is shown in one box that always adds 'Another driver accepted that trip first.'</t>
  </si>
  <si>
    <t>src/webparts/driverDashboard/components/DriverDashboard.tsx (takenNotice)</t>
  </si>
  <si>
    <t>R-14</t>
  </si>
  <si>
    <t>Reject note is cut at the first colon</t>
  </si>
  <si>
    <t>The dashboard splits 'Other: &lt;note&gt;' on ':' and keeps only the second piece.</t>
  </si>
  <si>
    <t>DriverDashboard.tsx (reject)</t>
  </si>
  <si>
    <t>R-15</t>
  </si>
  <si>
    <t>Closing odometer below opening is accepted</t>
  </si>
  <si>
    <t>Only 'is it a number' is checked.</t>
  </si>
  <si>
    <t>DispatchService.ts (updateTripStatus)</t>
  </si>
  <si>
    <t>R-16</t>
  </si>
  <si>
    <t>Allocation</t>
  </si>
  <si>
    <t>A driver whose Status is On Leave is still eligible</t>
  </si>
  <si>
    <t>The broadcast filters on IsActive and Status not Inactive, then on AvailabilityBlocks. Status On Leave is not read.</t>
  </si>
  <si>
    <t>DispatchService.ts (broadcast); src/common/rules/dispatchRules.ts</t>
  </si>
  <si>
    <t>R-17</t>
  </si>
  <si>
    <t>Default pickup is the first location alphabetically</t>
  </si>
  <si>
    <t>For Al Maryah Tower that is 'Central Warehouse', not 'Head Office'.</t>
  </si>
  <si>
    <t>BookARide.tsx; MasterDataService.ts (orderBy Title)</t>
  </si>
  <si>
    <t>R-18</t>
  </si>
  <si>
    <t>Passenger count is not checked against capacity</t>
  </si>
  <si>
    <t>Validation only requires 1 or more.</t>
  </si>
  <si>
    <t>BookARide.tsx (validate)</t>
  </si>
  <si>
    <t>R-19</t>
  </si>
  <si>
    <t>Reports</t>
  </si>
  <si>
    <t>Default From date is one day early</t>
  </si>
  <si>
    <t>The Gulf month start is converted to a UTC date, likely showing 30 Sep.</t>
  </si>
  <si>
    <t>src/webparts/reports/components/Reports.tsx (toDateInput)</t>
  </si>
  <si>
    <t>R-20</t>
  </si>
  <si>
    <t>Roles</t>
  </si>
  <si>
    <t>Dispatch and Reports do not check the visitor's role</t>
  </si>
  <si>
    <t>Only the restricted report is gated.</t>
  </si>
  <si>
    <t>DispatchDashboard.tsx; Reports.tsx</t>
  </si>
  <si>
    <t>R-21</t>
  </si>
  <si>
    <t>One login resolves to one driver</t>
  </si>
  <si>
    <t>The driver lookup takes the first DriversMaster row for the login.</t>
  </si>
  <si>
    <t>UserService.ts (top(1))</t>
  </si>
  <si>
    <t>R-22</t>
  </si>
  <si>
    <t>Permissions</t>
  </si>
  <si>
    <t>The broadcast runs as the requester</t>
  </si>
  <si>
    <t>Requesters need read access to driver, vehicle and availability lists and add access to RideOffers. A failure is swallowed and the request waits on Submitted for a Dispatch sweep.</t>
  </si>
  <si>
    <t>DispatchService.ts (createRequest calls broadcast)</t>
  </si>
  <si>
    <t>R-23</t>
  </si>
  <si>
    <t>Claim can half-complete without Contribute on master lists</t>
  </si>
  <si>
    <t>Driver and vehicle status are written after the trip is created.</t>
  </si>
  <si>
    <t>DispatchService.ts (completeClaim); Build Guide v4 section 2.4</t>
  </si>
  <si>
    <t>These come from reading the source (commit 05e84ee), not from running the app. Nothing is confirmed until the linked step has been run.</t>
  </si>
  <si>
    <t>Bug ID</t>
  </si>
  <si>
    <t>Date found</t>
  </si>
  <si>
    <t>Step ID</t>
  </si>
  <si>
    <t>Web part</t>
  </si>
  <si>
    <t>Summary</t>
  </si>
  <si>
    <t>Steps to reproduce</t>
  </si>
  <si>
    <t>Expected</t>
  </si>
  <si>
    <t>Actual</t>
  </si>
  <si>
    <t>Severity</t>
  </si>
  <si>
    <t>Evidence (screenshot / console)</t>
  </si>
  <si>
    <t>Fixed in / retest date</t>
  </si>
  <si>
    <t>EXAMPLE</t>
  </si>
  <si>
    <t>12-Oct-2026</t>
  </si>
  <si>
    <t>Cannot cancel a Broadcasting request</t>
  </si>
  <si>
    <t>1. Open My Bookings as Noreply Myhub.
2. Select FB-0021.
3. Click the cancel button, give a reason, confirm.</t>
  </si>
  <si>
    <t>Request is cancelled.</t>
  </si>
  <si>
    <t>Message says a driver already accepted; nothing changed in the list.</t>
  </si>
  <si>
    <t>Open</t>
  </si>
  <si>
    <t>Screenshot myb-008.png</t>
  </si>
  <si>
    <t>Row 2 is an example showing the expected format. Start your own entries from row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</si>
</sst>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6"/>
      <color rgb="FF1F3864"/>
      <name val="Arial"/>
    </font>
    <font>
      <b/>
      <sz val="10"/>
      <name val="Arial"/>
    </font>
    <font>
      <sz val="10"/>
      <name val="Arial"/>
    </font>
    <font>
      <b/>
      <sz val="14"/>
      <color rgb="FF1F3864"/>
      <name val="Arial"/>
    </font>
    <font>
      <b/>
      <sz val="10"/>
      <color rgb="FFFFFFFF"/>
      <name val="Arial"/>
    </font>
    <font>
      <i/>
      <sz val="10"/>
      <color rgb="FF7F7F7F"/>
      <name val="Arial"/>
    </font>
  </fonts>
  <fills count="4">
    <fill>
      <patternFill patternType="none"/>
    </fill>
    <fill>
      <patternFill patternType="gray125"/>
    </fill>
    <fill>
      <patternFill patternType="solid">
        <fgColor rgb="FF1F3864"/>
      </patternFill>
    </fill>
    <fill>
      <patternFill patternType="solid">
        <fgColor rgb="FFFFF9DB"/>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8">
    <xf numFmtId="0" fontId="0" fillId="0" borderId="0" xfId="0"/>
    <xf numFmtId="0" fontId="1" fillId="0" borderId="0" xfId="0" applyFont="1"/>
    <xf numFmtId="0" fontId="2" fillId="0" borderId="0" xfId="0" applyFont="1" applyAlignment="1">
      <alignment vertical="top" wrapText="1"/>
    </xf>
    <xf numFmtId="0" fontId="3" fillId="0" borderId="0" xfId="0" applyFont="1" applyAlignment="1">
      <alignment vertical="top" wrapText="1"/>
    </xf>
    <xf numFmtId="0" fontId="4" fillId="0" borderId="0" xfId="0" applyFont="1"/>
    <xf numFmtId="0" fontId="3" fillId="0" borderId="0" xfId="0" applyFont="1"/>
    <xf numFmtId="0" fontId="5" fillId="2" borderId="1" xfId="0" applyFont="1" applyFill="1" applyBorder="1" applyAlignment="1">
      <alignment vertical="center" wrapText="1"/>
    </xf>
    <xf numFmtId="0" fontId="3" fillId="0" borderId="1" xfId="0" applyFont="1" applyBorder="1"/>
    <xf numFmtId="9" fontId="3" fillId="0" borderId="1" xfId="0" applyNumberFormat="1" applyFont="1" applyBorder="1"/>
    <xf numFmtId="0" fontId="2" fillId="0" borderId="1" xfId="0" applyFont="1" applyBorder="1"/>
    <xf numFmtId="9" fontId="2" fillId="0" borderId="1" xfId="0" applyNumberFormat="1" applyFont="1" applyBorder="1"/>
    <xf numFmtId="0" fontId="3" fillId="0" borderId="1" xfId="0" applyFont="1" applyBorder="1" applyAlignment="1">
      <alignment vertical="top" wrapText="1"/>
    </xf>
    <xf numFmtId="0" fontId="2" fillId="0" borderId="1" xfId="0" applyFont="1" applyBorder="1" applyAlignment="1">
      <alignment vertical="top" wrapText="1"/>
    </xf>
    <xf numFmtId="0" fontId="3" fillId="3" borderId="1" xfId="0" applyFont="1" applyFill="1" applyBorder="1" applyAlignment="1">
      <alignment vertical="top" wrapText="1"/>
    </xf>
    <xf numFmtId="0" fontId="2" fillId="0" borderId="0" xfId="0" applyFont="1"/>
    <xf numFmtId="0" fontId="6" fillId="0" borderId="1" xfId="0" applyFont="1" applyBorder="1" applyAlignment="1">
      <alignment vertical="top" wrapText="1"/>
    </xf>
    <xf numFmtId="0" fontId="3" fillId="0" borderId="0" xfId="0" applyFont="1" applyAlignment="1">
      <alignment vertical="top" wrapText="1"/>
    </xf>
    <xf numFmtId="0" fontId="0" fillId="0" borderId="0" xfId="0"/>
  </cellXfs>
  <cellStyles count="1">
    <cellStyle name="Normal" xfId="0" builtinId="0"/>
  </cellStyles>
  <dxfs count="24">
    <dxf>
      <font>
        <b/>
        <color rgb="FF9C5700"/>
        <name val="Arial"/>
      </font>
      <fill>
        <patternFill patternType="solid">
          <bgColor rgb="FFFFEB9C"/>
        </patternFill>
      </fill>
    </dxf>
    <dxf>
      <font>
        <b/>
        <color rgb="FF9C0006"/>
        <name val="Arial"/>
      </font>
      <fill>
        <patternFill patternType="solid">
          <bgColor rgb="FFFFC7CE"/>
        </patternFill>
      </fill>
    </dxf>
    <dxf>
      <font>
        <b/>
        <color rgb="FF006100"/>
        <name val="Arial"/>
      </font>
      <fill>
        <patternFill patternType="solid">
          <bgColor rgb="FFC6EFCE"/>
        </patternFill>
      </fill>
    </dxf>
    <dxf>
      <font>
        <b/>
        <color rgb="FF9C5700"/>
        <name val="Arial"/>
      </font>
      <fill>
        <patternFill patternType="solid">
          <bgColor rgb="FFFFEB9C"/>
        </patternFill>
      </fill>
    </dxf>
    <dxf>
      <font>
        <b/>
        <color rgb="FF9C0006"/>
        <name val="Arial"/>
      </font>
      <fill>
        <patternFill patternType="solid">
          <bgColor rgb="FFFFC7CE"/>
        </patternFill>
      </fill>
    </dxf>
    <dxf>
      <font>
        <b/>
        <color rgb="FF006100"/>
        <name val="Arial"/>
      </font>
      <fill>
        <patternFill patternType="solid">
          <bgColor rgb="FFC6EFCE"/>
        </patternFill>
      </fill>
    </dxf>
    <dxf>
      <font>
        <b/>
        <color rgb="FF9C5700"/>
        <name val="Arial"/>
      </font>
      <fill>
        <patternFill patternType="solid">
          <bgColor rgb="FFFFEB9C"/>
        </patternFill>
      </fill>
    </dxf>
    <dxf>
      <font>
        <b/>
        <color rgb="FF9C0006"/>
        <name val="Arial"/>
      </font>
      <fill>
        <patternFill patternType="solid">
          <bgColor rgb="FFFFC7CE"/>
        </patternFill>
      </fill>
    </dxf>
    <dxf>
      <font>
        <b/>
        <color rgb="FF006100"/>
        <name val="Arial"/>
      </font>
      <fill>
        <patternFill patternType="solid">
          <bgColor rgb="FFC6EFCE"/>
        </patternFill>
      </fill>
    </dxf>
    <dxf>
      <font>
        <b/>
        <color rgb="FF9C5700"/>
        <name val="Arial"/>
      </font>
      <fill>
        <patternFill patternType="solid">
          <bgColor rgb="FFFFEB9C"/>
        </patternFill>
      </fill>
    </dxf>
    <dxf>
      <font>
        <b/>
        <color rgb="FF9C0006"/>
        <name val="Arial"/>
      </font>
      <fill>
        <patternFill patternType="solid">
          <bgColor rgb="FFFFC7CE"/>
        </patternFill>
      </fill>
    </dxf>
    <dxf>
      <font>
        <b/>
        <color rgb="FF006100"/>
        <name val="Arial"/>
      </font>
      <fill>
        <patternFill patternType="solid">
          <bgColor rgb="FFC6EFCE"/>
        </patternFill>
      </fill>
    </dxf>
    <dxf>
      <font>
        <b/>
        <color rgb="FF9C5700"/>
        <name val="Arial"/>
      </font>
      <fill>
        <patternFill patternType="solid">
          <bgColor rgb="FFFFEB9C"/>
        </patternFill>
      </fill>
    </dxf>
    <dxf>
      <font>
        <b/>
        <color rgb="FF9C0006"/>
        <name val="Arial"/>
      </font>
      <fill>
        <patternFill patternType="solid">
          <bgColor rgb="FFFFC7CE"/>
        </patternFill>
      </fill>
    </dxf>
    <dxf>
      <font>
        <b/>
        <color rgb="FF006100"/>
        <name val="Arial"/>
      </font>
      <fill>
        <patternFill patternType="solid">
          <bgColor rgb="FFC6EFCE"/>
        </patternFill>
      </fill>
    </dxf>
    <dxf>
      <font>
        <b/>
        <color rgb="FF9C5700"/>
        <name val="Arial"/>
      </font>
      <fill>
        <patternFill patternType="solid">
          <bgColor rgb="FFFFEB9C"/>
        </patternFill>
      </fill>
    </dxf>
    <dxf>
      <font>
        <b/>
        <color rgb="FF9C0006"/>
        <name val="Arial"/>
      </font>
      <fill>
        <patternFill patternType="solid">
          <bgColor rgb="FFFFC7CE"/>
        </patternFill>
      </fill>
    </dxf>
    <dxf>
      <font>
        <b/>
        <color rgb="FF006100"/>
        <name val="Arial"/>
      </font>
      <fill>
        <patternFill patternType="solid">
          <bgColor rgb="FFC6EFCE"/>
        </patternFill>
      </fill>
    </dxf>
    <dxf>
      <font>
        <b/>
        <color rgb="FF9C5700"/>
        <name val="Arial"/>
      </font>
      <fill>
        <patternFill patternType="solid">
          <bgColor rgb="FFFFEB9C"/>
        </patternFill>
      </fill>
    </dxf>
    <dxf>
      <font>
        <b/>
        <color rgb="FF9C0006"/>
        <name val="Arial"/>
      </font>
      <fill>
        <patternFill patternType="solid">
          <bgColor rgb="FFFFC7CE"/>
        </patternFill>
      </fill>
    </dxf>
    <dxf>
      <font>
        <b/>
        <color rgb="FF006100"/>
        <name val="Arial"/>
      </font>
      <fill>
        <patternFill patternType="solid">
          <bgColor rgb="FFC6EFCE"/>
        </patternFill>
      </fill>
    </dxf>
    <dxf>
      <font>
        <b/>
        <color rgb="FF9C5700"/>
        <name val="Arial"/>
      </font>
      <fill>
        <patternFill patternType="solid">
          <bgColor rgb="FFFFEB9C"/>
        </patternFill>
      </fill>
    </dxf>
    <dxf>
      <font>
        <b/>
        <color rgb="FF9C0006"/>
        <name val="Arial"/>
      </font>
      <fill>
        <patternFill patternType="solid">
          <bgColor rgb="FFFFC7CE"/>
        </patternFill>
      </fill>
    </dxf>
    <dxf>
      <font>
        <b/>
        <color rgb="FF006100"/>
        <name val="Arial"/>
      </font>
      <fill>
        <patternFill patternType="solid">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5"/>
  <sheetViews>
    <sheetView tabSelected="1" workbookViewId="0"/>
  </sheetViews>
  <sheetFormatPr defaultRowHeight="14.4" x14ac:dyDescent="0.3"/>
  <cols>
    <col min="1" max="1" width="26" customWidth="1"/>
    <col min="2" max="2" width="112" customWidth="1"/>
  </cols>
  <sheetData>
    <row r="1" spans="1:2" ht="21" x14ac:dyDescent="0.4">
      <c r="A1" s="1" t="s">
        <v>0</v>
      </c>
    </row>
    <row r="3" spans="1:2" ht="26.4" x14ac:dyDescent="0.3">
      <c r="A3" s="2" t="s">
        <v>1</v>
      </c>
      <c r="B3" s="3" t="s">
        <v>2</v>
      </c>
    </row>
    <row r="4" spans="1:2" ht="105.6" x14ac:dyDescent="0.3">
      <c r="A4" s="2" t="s">
        <v>3</v>
      </c>
      <c r="B4" s="3" t="s">
        <v>4</v>
      </c>
    </row>
    <row r="5" spans="1:2" ht="39.6" x14ac:dyDescent="0.3">
      <c r="A5" s="2" t="s">
        <v>5</v>
      </c>
      <c r="B5" s="3" t="s">
        <v>6</v>
      </c>
    </row>
    <row r="6" spans="1:2" ht="26.4" x14ac:dyDescent="0.3">
      <c r="A6" s="2" t="s">
        <v>7</v>
      </c>
      <c r="B6" s="3" t="s">
        <v>8</v>
      </c>
    </row>
    <row r="7" spans="1:2" ht="26.4" x14ac:dyDescent="0.3">
      <c r="A7" s="2" t="s">
        <v>9</v>
      </c>
      <c r="B7" s="3" t="s">
        <v>10</v>
      </c>
    </row>
    <row r="8" spans="1:2" ht="52.8" x14ac:dyDescent="0.3">
      <c r="A8" s="2" t="s">
        <v>11</v>
      </c>
      <c r="B8" s="3" t="s">
        <v>12</v>
      </c>
    </row>
    <row r="9" spans="1:2" ht="39.6" x14ac:dyDescent="0.3">
      <c r="A9" s="2" t="s">
        <v>13</v>
      </c>
      <c r="B9" s="3" t="s">
        <v>14</v>
      </c>
    </row>
    <row r="10" spans="1:2" ht="26.4" x14ac:dyDescent="0.3">
      <c r="A10" s="2" t="s">
        <v>15</v>
      </c>
      <c r="B10" s="3" t="s">
        <v>16</v>
      </c>
    </row>
    <row r="11" spans="1:2" ht="26.4" x14ac:dyDescent="0.3">
      <c r="A11" s="2" t="s">
        <v>17</v>
      </c>
      <c r="B11" s="3" t="s">
        <v>18</v>
      </c>
    </row>
    <row r="12" spans="1:2" ht="26.4" x14ac:dyDescent="0.3">
      <c r="A12" s="2" t="s">
        <v>19</v>
      </c>
      <c r="B12" s="3" t="s">
        <v>20</v>
      </c>
    </row>
    <row r="13" spans="1:2" x14ac:dyDescent="0.3">
      <c r="A13" s="2" t="s">
        <v>21</v>
      </c>
      <c r="B13" s="3" t="s">
        <v>22</v>
      </c>
    </row>
    <row r="14" spans="1:2" ht="26.4" x14ac:dyDescent="0.3">
      <c r="A14" s="2" t="s">
        <v>23</v>
      </c>
      <c r="B14" s="3" t="s">
        <v>24</v>
      </c>
    </row>
    <row r="15" spans="1:2" ht="26.4" x14ac:dyDescent="0.3">
      <c r="A15" s="2" t="s">
        <v>25</v>
      </c>
      <c r="B15" s="3" t="s">
        <v>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3"/>
  <sheetViews>
    <sheetView workbookViewId="0"/>
  </sheetViews>
  <sheetFormatPr defaultRowHeight="14.4" x14ac:dyDescent="0.3"/>
  <cols>
    <col min="1" max="1" width="30" customWidth="1"/>
    <col min="2" max="7" width="9" customWidth="1"/>
    <col min="8" max="8" width="10" customWidth="1"/>
    <col min="9" max="9" width="16" customWidth="1"/>
  </cols>
  <sheetData>
    <row r="1" spans="1:9" ht="17.399999999999999" x14ac:dyDescent="0.3">
      <c r="A1" s="4" t="s">
        <v>27</v>
      </c>
    </row>
    <row r="2" spans="1:9" x14ac:dyDescent="0.3">
      <c r="A2" s="5" t="s">
        <v>28</v>
      </c>
    </row>
    <row r="4" spans="1:9" ht="30" customHeight="1" x14ac:dyDescent="0.3">
      <c r="A4" s="6" t="s">
        <v>29</v>
      </c>
      <c r="B4" s="6" t="s">
        <v>30</v>
      </c>
      <c r="C4" s="6" t="s">
        <v>31</v>
      </c>
      <c r="D4" s="6" t="s">
        <v>32</v>
      </c>
      <c r="E4" s="6" t="s">
        <v>33</v>
      </c>
      <c r="F4" s="6" t="s">
        <v>34</v>
      </c>
      <c r="G4" s="6" t="s">
        <v>35</v>
      </c>
      <c r="H4" s="6" t="s">
        <v>36</v>
      </c>
      <c r="I4" s="6" t="s">
        <v>37</v>
      </c>
    </row>
    <row r="5" spans="1:9" x14ac:dyDescent="0.3">
      <c r="A5" s="7" t="s">
        <v>38</v>
      </c>
      <c r="B5" s="7">
        <f>COUNTA('0 Deployment check'!$K$5:$K$27)</f>
        <v>23</v>
      </c>
      <c r="C5" s="7">
        <f>COUNTIF('0 Deployment check'!$K$5:$K$27,"Pass")</f>
        <v>0</v>
      </c>
      <c r="D5" s="7">
        <f>COUNTIF('0 Deployment check'!$K$5:$K$27,"Fail")</f>
        <v>0</v>
      </c>
      <c r="E5" s="7">
        <f>COUNTIF('0 Deployment check'!$K$5:$K$27,"Blocked")</f>
        <v>0</v>
      </c>
      <c r="F5" s="7">
        <f>COUNTIF('0 Deployment check'!$K$5:$K$27,"N/A")</f>
        <v>0</v>
      </c>
      <c r="G5" s="7">
        <f>COUNTIF('0 Deployment check'!$K$5:$K$27,"Not Run")</f>
        <v>23</v>
      </c>
      <c r="H5" s="8">
        <f t="shared" ref="H5:H13" si="0">IF(B5=0,0,(B5-G5)/B5)</f>
        <v>0</v>
      </c>
      <c r="I5" s="8">
        <f t="shared" ref="I5:I13" si="1">IF((C5+D5)=0,0,C5/(C5+D5))</f>
        <v>0</v>
      </c>
    </row>
    <row r="6" spans="1:9" x14ac:dyDescent="0.3">
      <c r="A6" s="7" t="s">
        <v>39</v>
      </c>
      <c r="B6" s="7">
        <f>COUNTA('1 Book a Ride'!$K$5:$K$44)</f>
        <v>40</v>
      </c>
      <c r="C6" s="7">
        <f>COUNTIF('1 Book a Ride'!$K$5:$K$44,"Pass")</f>
        <v>0</v>
      </c>
      <c r="D6" s="7">
        <f>COUNTIF('1 Book a Ride'!$K$5:$K$44,"Fail")</f>
        <v>0</v>
      </c>
      <c r="E6" s="7">
        <f>COUNTIF('1 Book a Ride'!$K$5:$K$44,"Blocked")</f>
        <v>0</v>
      </c>
      <c r="F6" s="7">
        <f>COUNTIF('1 Book a Ride'!$K$5:$K$44,"N/A")</f>
        <v>0</v>
      </c>
      <c r="G6" s="7">
        <f>COUNTIF('1 Book a Ride'!$K$5:$K$44,"Not Run")</f>
        <v>40</v>
      </c>
      <c r="H6" s="8">
        <f t="shared" si="0"/>
        <v>0</v>
      </c>
      <c r="I6" s="8">
        <f t="shared" si="1"/>
        <v>0</v>
      </c>
    </row>
    <row r="7" spans="1:9" x14ac:dyDescent="0.3">
      <c r="A7" s="7" t="s">
        <v>40</v>
      </c>
      <c r="B7" s="7">
        <f>COUNTA('2 Booking results'!$K$5:$K$30)</f>
        <v>26</v>
      </c>
      <c r="C7" s="7">
        <f>COUNTIF('2 Booking results'!$K$5:$K$30,"Pass")</f>
        <v>0</v>
      </c>
      <c r="D7" s="7">
        <f>COUNTIF('2 Booking results'!$K$5:$K$30,"Fail")</f>
        <v>0</v>
      </c>
      <c r="E7" s="7">
        <f>COUNTIF('2 Booking results'!$K$5:$K$30,"Blocked")</f>
        <v>0</v>
      </c>
      <c r="F7" s="7">
        <f>COUNTIF('2 Booking results'!$K$5:$K$30,"N/A")</f>
        <v>0</v>
      </c>
      <c r="G7" s="7">
        <f>COUNTIF('2 Booking results'!$K$5:$K$30,"Not Run")</f>
        <v>26</v>
      </c>
      <c r="H7" s="8">
        <f t="shared" si="0"/>
        <v>0</v>
      </c>
      <c r="I7" s="8">
        <f t="shared" si="1"/>
        <v>0</v>
      </c>
    </row>
    <row r="8" spans="1:9" x14ac:dyDescent="0.3">
      <c r="A8" s="7" t="s">
        <v>41</v>
      </c>
      <c r="B8" s="7">
        <f>COUNTA('3 My Bookings'!$K$5:$K$23)</f>
        <v>19</v>
      </c>
      <c r="C8" s="7">
        <f>COUNTIF('3 My Bookings'!$K$5:$K$23,"Pass")</f>
        <v>0</v>
      </c>
      <c r="D8" s="7">
        <f>COUNTIF('3 My Bookings'!$K$5:$K$23,"Fail")</f>
        <v>0</v>
      </c>
      <c r="E8" s="7">
        <f>COUNTIF('3 My Bookings'!$K$5:$K$23,"Blocked")</f>
        <v>0</v>
      </c>
      <c r="F8" s="7">
        <f>COUNTIF('3 My Bookings'!$K$5:$K$23,"N/A")</f>
        <v>0</v>
      </c>
      <c r="G8" s="7">
        <f>COUNTIF('3 My Bookings'!$K$5:$K$23,"Not Run")</f>
        <v>19</v>
      </c>
      <c r="H8" s="8">
        <f t="shared" si="0"/>
        <v>0</v>
      </c>
      <c r="I8" s="8">
        <f t="shared" si="1"/>
        <v>0</v>
      </c>
    </row>
    <row r="9" spans="1:9" x14ac:dyDescent="0.3">
      <c r="A9" s="7" t="s">
        <v>42</v>
      </c>
      <c r="B9" s="7">
        <f>COUNTA('4 Driver Dashboard'!$K$5:$K$38)</f>
        <v>34</v>
      </c>
      <c r="C9" s="7">
        <f>COUNTIF('4 Driver Dashboard'!$K$5:$K$38,"Pass")</f>
        <v>0</v>
      </c>
      <c r="D9" s="7">
        <f>COUNTIF('4 Driver Dashboard'!$K$5:$K$38,"Fail")</f>
        <v>0</v>
      </c>
      <c r="E9" s="7">
        <f>COUNTIF('4 Driver Dashboard'!$K$5:$K$38,"Blocked")</f>
        <v>0</v>
      </c>
      <c r="F9" s="7">
        <f>COUNTIF('4 Driver Dashboard'!$K$5:$K$38,"N/A")</f>
        <v>0</v>
      </c>
      <c r="G9" s="7">
        <f>COUNTIF('4 Driver Dashboard'!$K$5:$K$38,"Not Run")</f>
        <v>34</v>
      </c>
      <c r="H9" s="8">
        <f t="shared" si="0"/>
        <v>0</v>
      </c>
      <c r="I9" s="8">
        <f t="shared" si="1"/>
        <v>0</v>
      </c>
    </row>
    <row r="10" spans="1:9" x14ac:dyDescent="0.3">
      <c r="A10" s="7" t="s">
        <v>43</v>
      </c>
      <c r="B10" s="7">
        <f>COUNTA('5 Dispatch Dashboard'!$K$5:$K$42)</f>
        <v>38</v>
      </c>
      <c r="C10" s="7">
        <f>COUNTIF('5 Dispatch Dashboard'!$K$5:$K$42,"Pass")</f>
        <v>0</v>
      </c>
      <c r="D10" s="7">
        <f>COUNTIF('5 Dispatch Dashboard'!$K$5:$K$42,"Fail")</f>
        <v>0</v>
      </c>
      <c r="E10" s="7">
        <f>COUNTIF('5 Dispatch Dashboard'!$K$5:$K$42,"Blocked")</f>
        <v>0</v>
      </c>
      <c r="F10" s="7">
        <f>COUNTIF('5 Dispatch Dashboard'!$K$5:$K$42,"N/A")</f>
        <v>0</v>
      </c>
      <c r="G10" s="7">
        <f>COUNTIF('5 Dispatch Dashboard'!$K$5:$K$42,"Not Run")</f>
        <v>38</v>
      </c>
      <c r="H10" s="8">
        <f t="shared" si="0"/>
        <v>0</v>
      </c>
      <c r="I10" s="8">
        <f t="shared" si="1"/>
        <v>0</v>
      </c>
    </row>
    <row r="11" spans="1:9" x14ac:dyDescent="0.3">
      <c r="A11" s="7" t="s">
        <v>44</v>
      </c>
      <c r="B11" s="7">
        <f>COUNTA('6 Fleet Reports'!$K$5:$K$26)</f>
        <v>22</v>
      </c>
      <c r="C11" s="7">
        <f>COUNTIF('6 Fleet Reports'!$K$5:$K$26,"Pass")</f>
        <v>0</v>
      </c>
      <c r="D11" s="7">
        <f>COUNTIF('6 Fleet Reports'!$K$5:$K$26,"Fail")</f>
        <v>0</v>
      </c>
      <c r="E11" s="7">
        <f>COUNTIF('6 Fleet Reports'!$K$5:$K$26,"Blocked")</f>
        <v>0</v>
      </c>
      <c r="F11" s="7">
        <f>COUNTIF('6 Fleet Reports'!$K$5:$K$26,"N/A")</f>
        <v>0</v>
      </c>
      <c r="G11" s="7">
        <f>COUNTIF('6 Fleet Reports'!$K$5:$K$26,"Not Run")</f>
        <v>22</v>
      </c>
      <c r="H11" s="8">
        <f t="shared" si="0"/>
        <v>0</v>
      </c>
      <c r="I11" s="8">
        <f t="shared" si="1"/>
        <v>0</v>
      </c>
    </row>
    <row r="12" spans="1:9" x14ac:dyDescent="0.3">
      <c r="A12" s="7" t="s">
        <v>45</v>
      </c>
      <c r="B12" s="7">
        <f>COUNTA('7 Across web parts'!$K$5:$K$43)</f>
        <v>39</v>
      </c>
      <c r="C12" s="7">
        <f>COUNTIF('7 Across web parts'!$K$5:$K$43,"Pass")</f>
        <v>0</v>
      </c>
      <c r="D12" s="7">
        <f>COUNTIF('7 Across web parts'!$K$5:$K$43,"Fail")</f>
        <v>0</v>
      </c>
      <c r="E12" s="7">
        <f>COUNTIF('7 Across web parts'!$K$5:$K$43,"Blocked")</f>
        <v>0</v>
      </c>
      <c r="F12" s="7">
        <f>COUNTIF('7 Across web parts'!$K$5:$K$43,"N/A")</f>
        <v>0</v>
      </c>
      <c r="G12" s="7">
        <f>COUNTIF('7 Across web parts'!$K$5:$K$43,"Not Run")</f>
        <v>39</v>
      </c>
      <c r="H12" s="8">
        <f t="shared" si="0"/>
        <v>0</v>
      </c>
      <c r="I12" s="8">
        <f t="shared" si="1"/>
        <v>0</v>
      </c>
    </row>
    <row r="13" spans="1:9" x14ac:dyDescent="0.3">
      <c r="A13" s="9" t="s">
        <v>46</v>
      </c>
      <c r="B13" s="9">
        <f t="shared" ref="B13:G13" si="2">SUM(B5:B12)</f>
        <v>241</v>
      </c>
      <c r="C13" s="9">
        <f t="shared" si="2"/>
        <v>0</v>
      </c>
      <c r="D13" s="9">
        <f t="shared" si="2"/>
        <v>0</v>
      </c>
      <c r="E13" s="9">
        <f t="shared" si="2"/>
        <v>0</v>
      </c>
      <c r="F13" s="9">
        <f t="shared" si="2"/>
        <v>0</v>
      </c>
      <c r="G13" s="9">
        <f t="shared" si="2"/>
        <v>241</v>
      </c>
      <c r="H13" s="10">
        <f t="shared" si="0"/>
        <v>0</v>
      </c>
      <c r="I13" s="10">
        <f t="shared" si="1"/>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27"/>
  <sheetViews>
    <sheetView zoomScale="90" workbookViewId="0">
      <pane xSplit="3" ySplit="4" topLeftCell="D5" activePane="bottomRight" state="frozen"/>
      <selection pane="topRight"/>
      <selection pane="bottomLeft"/>
      <selection pane="bottomRight"/>
    </sheetView>
  </sheetViews>
  <sheetFormatPr defaultRowHeight="14.4" x14ac:dyDescent="0.3"/>
  <cols>
    <col min="1" max="1" width="6" customWidth="1"/>
    <col min="2" max="2" width="10" customWidth="1"/>
    <col min="3" max="3" width="22" customWidth="1"/>
    <col min="4" max="4" width="14" customWidth="1"/>
    <col min="5" max="5" width="9" customWidth="1"/>
    <col min="6" max="6" width="8" customWidth="1"/>
    <col min="7" max="7" width="34" customWidth="1"/>
    <col min="8" max="8" width="52" customWidth="1"/>
    <col min="9" max="9" width="64" customWidth="1"/>
    <col min="10" max="10" width="36" customWidth="1"/>
    <col min="11" max="11" width="11" customWidth="1"/>
    <col min="12" max="12" width="24" customWidth="1"/>
    <col min="13" max="13" width="12" customWidth="1"/>
    <col min="14" max="14" width="13" customWidth="1"/>
  </cols>
  <sheetData>
    <row r="1" spans="1:14" ht="17.399999999999999" x14ac:dyDescent="0.3">
      <c r="A1" s="4" t="s">
        <v>47</v>
      </c>
    </row>
    <row r="2" spans="1:14" x14ac:dyDescent="0.3">
      <c r="A2" s="5" t="s">
        <v>48</v>
      </c>
    </row>
    <row r="4" spans="1:14" ht="30" customHeight="1" x14ac:dyDescent="0.3">
      <c r="A4" s="6" t="s">
        <v>49</v>
      </c>
      <c r="B4" s="6" t="s">
        <v>50</v>
      </c>
      <c r="C4" s="6" t="s">
        <v>51</v>
      </c>
      <c r="D4" s="6" t="s">
        <v>52</v>
      </c>
      <c r="E4" s="6" t="s">
        <v>53</v>
      </c>
      <c r="F4" s="6" t="s">
        <v>54</v>
      </c>
      <c r="G4" s="6" t="s">
        <v>55</v>
      </c>
      <c r="H4" s="6" t="s">
        <v>56</v>
      </c>
      <c r="I4" s="6" t="s">
        <v>57</v>
      </c>
      <c r="J4" s="6" t="s">
        <v>58</v>
      </c>
      <c r="K4" s="6" t="s">
        <v>59</v>
      </c>
      <c r="L4" s="6" t="s">
        <v>60</v>
      </c>
      <c r="M4" s="6" t="s">
        <v>61</v>
      </c>
      <c r="N4" s="6" t="s">
        <v>62</v>
      </c>
    </row>
    <row r="5" spans="1:14" ht="79.2" x14ac:dyDescent="0.3">
      <c r="A5" s="11">
        <v>1</v>
      </c>
      <c r="B5" s="12" t="s">
        <v>63</v>
      </c>
      <c r="C5" s="11" t="s">
        <v>64</v>
      </c>
      <c r="D5" s="11" t="s">
        <v>65</v>
      </c>
      <c r="E5" s="11" t="s">
        <v>66</v>
      </c>
      <c r="F5" s="11" t="s">
        <v>67</v>
      </c>
      <c r="G5" s="11" t="s">
        <v>68</v>
      </c>
      <c r="H5" s="11" t="s">
        <v>69</v>
      </c>
      <c r="I5" s="11" t="s">
        <v>70</v>
      </c>
      <c r="J5" s="13"/>
      <c r="K5" s="13" t="s">
        <v>35</v>
      </c>
      <c r="L5" s="13"/>
      <c r="M5" s="13"/>
      <c r="N5" s="13"/>
    </row>
    <row r="6" spans="1:14" ht="26.4" x14ac:dyDescent="0.3">
      <c r="A6" s="11">
        <v>2</v>
      </c>
      <c r="B6" s="12" t="s">
        <v>71</v>
      </c>
      <c r="C6" s="11" t="s">
        <v>72</v>
      </c>
      <c r="D6" s="11" t="s">
        <v>73</v>
      </c>
      <c r="E6" s="11" t="s">
        <v>66</v>
      </c>
      <c r="F6" s="11" t="s">
        <v>67</v>
      </c>
      <c r="G6" s="11" t="s">
        <v>74</v>
      </c>
      <c r="H6" s="11" t="s">
        <v>75</v>
      </c>
      <c r="I6" s="11" t="s">
        <v>76</v>
      </c>
      <c r="J6" s="13"/>
      <c r="K6" s="13" t="s">
        <v>35</v>
      </c>
      <c r="L6" s="13"/>
      <c r="M6" s="13"/>
      <c r="N6" s="13"/>
    </row>
    <row r="7" spans="1:14" ht="39.6" x14ac:dyDescent="0.3">
      <c r="A7" s="11">
        <v>3</v>
      </c>
      <c r="B7" s="12" t="s">
        <v>77</v>
      </c>
      <c r="C7" s="11" t="s">
        <v>78</v>
      </c>
      <c r="D7" s="11" t="s">
        <v>73</v>
      </c>
      <c r="E7" s="11" t="s">
        <v>66</v>
      </c>
      <c r="F7" s="11" t="s">
        <v>67</v>
      </c>
      <c r="G7" s="11" t="s">
        <v>79</v>
      </c>
      <c r="H7" s="11" t="s">
        <v>80</v>
      </c>
      <c r="I7" s="11" t="s">
        <v>81</v>
      </c>
      <c r="J7" s="13"/>
      <c r="K7" s="13" t="s">
        <v>35</v>
      </c>
      <c r="L7" s="13"/>
      <c r="M7" s="13"/>
      <c r="N7" s="13"/>
    </row>
    <row r="8" spans="1:14" ht="26.4" x14ac:dyDescent="0.3">
      <c r="A8" s="11">
        <v>4</v>
      </c>
      <c r="B8" s="12" t="s">
        <v>82</v>
      </c>
      <c r="C8" s="11" t="s">
        <v>83</v>
      </c>
      <c r="D8" s="11" t="s">
        <v>84</v>
      </c>
      <c r="E8" s="11" t="s">
        <v>66</v>
      </c>
      <c r="F8" s="11" t="s">
        <v>67</v>
      </c>
      <c r="G8" s="11" t="s">
        <v>85</v>
      </c>
      <c r="H8" s="11" t="s">
        <v>86</v>
      </c>
      <c r="I8" s="11" t="s">
        <v>87</v>
      </c>
      <c r="J8" s="13"/>
      <c r="K8" s="13" t="s">
        <v>35</v>
      </c>
      <c r="L8" s="13"/>
      <c r="M8" s="13"/>
      <c r="N8" s="13"/>
    </row>
    <row r="9" spans="1:14" ht="26.4" x14ac:dyDescent="0.3">
      <c r="A9" s="11">
        <v>5</v>
      </c>
      <c r="B9" s="12" t="s">
        <v>88</v>
      </c>
      <c r="C9" s="11" t="s">
        <v>89</v>
      </c>
      <c r="D9" s="11" t="s">
        <v>84</v>
      </c>
      <c r="E9" s="11" t="s">
        <v>66</v>
      </c>
      <c r="F9" s="11" t="s">
        <v>67</v>
      </c>
      <c r="G9" s="11" t="s">
        <v>90</v>
      </c>
      <c r="H9" s="11" t="s">
        <v>91</v>
      </c>
      <c r="I9" s="11" t="s">
        <v>92</v>
      </c>
      <c r="J9" s="13"/>
      <c r="K9" s="13" t="s">
        <v>35</v>
      </c>
      <c r="L9" s="13"/>
      <c r="M9" s="13"/>
      <c r="N9" s="13"/>
    </row>
    <row r="10" spans="1:14" ht="39.6" x14ac:dyDescent="0.3">
      <c r="A10" s="11">
        <v>6</v>
      </c>
      <c r="B10" s="12" t="s">
        <v>93</v>
      </c>
      <c r="C10" s="11" t="s">
        <v>94</v>
      </c>
      <c r="D10" s="11" t="s">
        <v>95</v>
      </c>
      <c r="E10" s="11" t="s">
        <v>66</v>
      </c>
      <c r="F10" s="11" t="s">
        <v>67</v>
      </c>
      <c r="G10" s="11" t="s">
        <v>90</v>
      </c>
      <c r="H10" s="11" t="s">
        <v>96</v>
      </c>
      <c r="I10" s="11" t="s">
        <v>97</v>
      </c>
      <c r="J10" s="13"/>
      <c r="K10" s="13" t="s">
        <v>35</v>
      </c>
      <c r="L10" s="13"/>
      <c r="M10" s="13"/>
      <c r="N10" s="13"/>
    </row>
    <row r="11" spans="1:14" ht="26.4" x14ac:dyDescent="0.3">
      <c r="A11" s="11">
        <v>7</v>
      </c>
      <c r="B11" s="12" t="s">
        <v>98</v>
      </c>
      <c r="C11" s="11" t="s">
        <v>99</v>
      </c>
      <c r="D11" s="11" t="s">
        <v>100</v>
      </c>
      <c r="E11" s="11" t="s">
        <v>66</v>
      </c>
      <c r="F11" s="11" t="s">
        <v>67</v>
      </c>
      <c r="G11" s="11" t="s">
        <v>90</v>
      </c>
      <c r="H11" s="11" t="s">
        <v>101</v>
      </c>
      <c r="I11" s="11" t="s">
        <v>102</v>
      </c>
      <c r="J11" s="13"/>
      <c r="K11" s="13" t="s">
        <v>35</v>
      </c>
      <c r="L11" s="13"/>
      <c r="M11" s="13"/>
      <c r="N11" s="13"/>
    </row>
    <row r="12" spans="1:14" ht="26.4" x14ac:dyDescent="0.3">
      <c r="A12" s="11">
        <v>8</v>
      </c>
      <c r="B12" s="12" t="s">
        <v>103</v>
      </c>
      <c r="C12" s="11" t="s">
        <v>104</v>
      </c>
      <c r="D12" s="11" t="s">
        <v>100</v>
      </c>
      <c r="E12" s="11" t="s">
        <v>66</v>
      </c>
      <c r="F12" s="11" t="s">
        <v>67</v>
      </c>
      <c r="G12" s="11" t="s">
        <v>90</v>
      </c>
      <c r="H12" s="11" t="s">
        <v>105</v>
      </c>
      <c r="I12" s="11" t="s">
        <v>106</v>
      </c>
      <c r="J12" s="13"/>
      <c r="K12" s="13" t="s">
        <v>35</v>
      </c>
      <c r="L12" s="13"/>
      <c r="M12" s="13"/>
      <c r="N12" s="13"/>
    </row>
    <row r="13" spans="1:14" ht="66" x14ac:dyDescent="0.3">
      <c r="A13" s="11">
        <v>9</v>
      </c>
      <c r="B13" s="12" t="s">
        <v>107</v>
      </c>
      <c r="C13" s="11" t="s">
        <v>108</v>
      </c>
      <c r="D13" s="11" t="s">
        <v>109</v>
      </c>
      <c r="E13" s="11" t="s">
        <v>66</v>
      </c>
      <c r="F13" s="11" t="s">
        <v>67</v>
      </c>
      <c r="G13" s="11" t="s">
        <v>110</v>
      </c>
      <c r="H13" s="11" t="s">
        <v>111</v>
      </c>
      <c r="I13" s="11" t="s">
        <v>112</v>
      </c>
      <c r="J13" s="13"/>
      <c r="K13" s="13" t="s">
        <v>35</v>
      </c>
      <c r="L13" s="13"/>
      <c r="M13" s="13"/>
      <c r="N13" s="13"/>
    </row>
    <row r="14" spans="1:14" ht="39.6" x14ac:dyDescent="0.3">
      <c r="A14" s="11">
        <v>10</v>
      </c>
      <c r="B14" s="12" t="s">
        <v>113</v>
      </c>
      <c r="C14" s="11" t="s">
        <v>114</v>
      </c>
      <c r="D14" s="11" t="s">
        <v>109</v>
      </c>
      <c r="E14" s="11" t="s">
        <v>115</v>
      </c>
      <c r="F14" s="11" t="s">
        <v>67</v>
      </c>
      <c r="G14" s="11" t="s">
        <v>116</v>
      </c>
      <c r="H14" s="11" t="s">
        <v>117</v>
      </c>
      <c r="I14" s="11" t="s">
        <v>118</v>
      </c>
      <c r="J14" s="13"/>
      <c r="K14" s="13" t="s">
        <v>35</v>
      </c>
      <c r="L14" s="13"/>
      <c r="M14" s="13"/>
      <c r="N14" s="13"/>
    </row>
    <row r="15" spans="1:14" ht="52.8" x14ac:dyDescent="0.3">
      <c r="A15" s="11">
        <v>11</v>
      </c>
      <c r="B15" s="12" t="s">
        <v>119</v>
      </c>
      <c r="C15" s="11" t="s">
        <v>120</v>
      </c>
      <c r="D15" s="11" t="s">
        <v>121</v>
      </c>
      <c r="E15" s="11" t="s">
        <v>66</v>
      </c>
      <c r="F15" s="11" t="s">
        <v>67</v>
      </c>
      <c r="G15" s="11" t="s">
        <v>122</v>
      </c>
      <c r="H15" s="11" t="s">
        <v>123</v>
      </c>
      <c r="I15" s="11" t="s">
        <v>124</v>
      </c>
      <c r="J15" s="13"/>
      <c r="K15" s="13" t="s">
        <v>35</v>
      </c>
      <c r="L15" s="13"/>
      <c r="M15" s="13"/>
      <c r="N15" s="13"/>
    </row>
    <row r="16" spans="1:14" ht="52.8" x14ac:dyDescent="0.3">
      <c r="A16" s="11">
        <v>12</v>
      </c>
      <c r="B16" s="12" t="s">
        <v>125</v>
      </c>
      <c r="C16" s="11" t="s">
        <v>126</v>
      </c>
      <c r="D16" s="11" t="s">
        <v>127</v>
      </c>
      <c r="E16" s="11" t="s">
        <v>115</v>
      </c>
      <c r="F16" s="11" t="s">
        <v>67</v>
      </c>
      <c r="G16" s="11" t="s">
        <v>79</v>
      </c>
      <c r="H16" s="11" t="s">
        <v>128</v>
      </c>
      <c r="I16" s="11" t="s">
        <v>129</v>
      </c>
      <c r="J16" s="13"/>
      <c r="K16" s="13" t="s">
        <v>35</v>
      </c>
      <c r="L16" s="13"/>
      <c r="M16" s="13"/>
      <c r="N16" s="13"/>
    </row>
    <row r="17" spans="1:14" ht="92.4" x14ac:dyDescent="0.3">
      <c r="A17" s="11">
        <v>13</v>
      </c>
      <c r="B17" s="12" t="s">
        <v>130</v>
      </c>
      <c r="C17" s="11" t="s">
        <v>131</v>
      </c>
      <c r="D17" s="11" t="s">
        <v>73</v>
      </c>
      <c r="E17" s="11" t="s">
        <v>132</v>
      </c>
      <c r="F17" s="11" t="s">
        <v>67</v>
      </c>
      <c r="G17" s="11" t="s">
        <v>133</v>
      </c>
      <c r="H17" s="11" t="s">
        <v>134</v>
      </c>
      <c r="I17" s="11" t="s">
        <v>135</v>
      </c>
      <c r="J17" s="13"/>
      <c r="K17" s="13" t="s">
        <v>35</v>
      </c>
      <c r="L17" s="13"/>
      <c r="M17" s="13"/>
      <c r="N17" s="13"/>
    </row>
    <row r="18" spans="1:14" ht="26.4" x14ac:dyDescent="0.3">
      <c r="A18" s="11">
        <v>14</v>
      </c>
      <c r="B18" s="12" t="s">
        <v>136</v>
      </c>
      <c r="C18" s="11" t="s">
        <v>137</v>
      </c>
      <c r="D18" s="11" t="s">
        <v>95</v>
      </c>
      <c r="E18" s="11" t="s">
        <v>115</v>
      </c>
      <c r="F18" s="11" t="s">
        <v>67</v>
      </c>
      <c r="G18" s="11" t="s">
        <v>138</v>
      </c>
      <c r="H18" s="11" t="s">
        <v>139</v>
      </c>
      <c r="I18" s="11" t="s">
        <v>140</v>
      </c>
      <c r="J18" s="13"/>
      <c r="K18" s="13" t="s">
        <v>35</v>
      </c>
      <c r="L18" s="13"/>
      <c r="M18" s="13"/>
      <c r="N18" s="13"/>
    </row>
    <row r="19" spans="1:14" ht="118.8" x14ac:dyDescent="0.3">
      <c r="A19" s="11">
        <v>15</v>
      </c>
      <c r="B19" s="12" t="s">
        <v>141</v>
      </c>
      <c r="C19" s="11" t="s">
        <v>142</v>
      </c>
      <c r="D19" s="11" t="s">
        <v>79</v>
      </c>
      <c r="E19" s="11" t="s">
        <v>66</v>
      </c>
      <c r="F19" s="11" t="s">
        <v>67</v>
      </c>
      <c r="G19" s="11" t="s">
        <v>143</v>
      </c>
      <c r="H19" s="11" t="s">
        <v>144</v>
      </c>
      <c r="I19" s="11" t="s">
        <v>145</v>
      </c>
      <c r="J19" s="13"/>
      <c r="K19" s="13" t="s">
        <v>35</v>
      </c>
      <c r="L19" s="13"/>
      <c r="M19" s="13"/>
      <c r="N19" s="13"/>
    </row>
    <row r="20" spans="1:14" ht="92.4" x14ac:dyDescent="0.3">
      <c r="A20" s="11">
        <v>16</v>
      </c>
      <c r="B20" s="12" t="s">
        <v>146</v>
      </c>
      <c r="C20" s="11" t="s">
        <v>147</v>
      </c>
      <c r="D20" s="11" t="s">
        <v>121</v>
      </c>
      <c r="E20" s="11" t="s">
        <v>66</v>
      </c>
      <c r="F20" s="11" t="s">
        <v>67</v>
      </c>
      <c r="G20" s="11" t="s">
        <v>148</v>
      </c>
      <c r="H20" s="11" t="s">
        <v>149</v>
      </c>
      <c r="I20" s="11" t="s">
        <v>150</v>
      </c>
      <c r="J20" s="13"/>
      <c r="K20" s="13" t="s">
        <v>35</v>
      </c>
      <c r="L20" s="13"/>
      <c r="M20" s="13"/>
      <c r="N20" s="13"/>
    </row>
    <row r="21" spans="1:14" ht="66" x14ac:dyDescent="0.3">
      <c r="A21" s="11">
        <v>17</v>
      </c>
      <c r="B21" s="12" t="s">
        <v>151</v>
      </c>
      <c r="C21" s="11" t="s">
        <v>152</v>
      </c>
      <c r="D21" s="11" t="s">
        <v>121</v>
      </c>
      <c r="E21" s="11" t="s">
        <v>66</v>
      </c>
      <c r="F21" s="11" t="s">
        <v>67</v>
      </c>
      <c r="G21" s="11" t="s">
        <v>153</v>
      </c>
      <c r="H21" s="11" t="s">
        <v>154</v>
      </c>
      <c r="I21" s="11" t="s">
        <v>155</v>
      </c>
      <c r="J21" s="13"/>
      <c r="K21" s="13" t="s">
        <v>35</v>
      </c>
      <c r="L21" s="13"/>
      <c r="M21" s="13"/>
      <c r="N21" s="13"/>
    </row>
    <row r="22" spans="1:14" ht="39.6" x14ac:dyDescent="0.3">
      <c r="A22" s="11">
        <v>18</v>
      </c>
      <c r="B22" s="12" t="s">
        <v>156</v>
      </c>
      <c r="C22" s="11" t="s">
        <v>157</v>
      </c>
      <c r="D22" s="11" t="s">
        <v>121</v>
      </c>
      <c r="E22" s="11" t="s">
        <v>66</v>
      </c>
      <c r="F22" s="11" t="s">
        <v>67</v>
      </c>
      <c r="G22" s="11" t="s">
        <v>158</v>
      </c>
      <c r="H22" s="11" t="s">
        <v>159</v>
      </c>
      <c r="I22" s="11" t="s">
        <v>160</v>
      </c>
      <c r="J22" s="13"/>
      <c r="K22" s="13" t="s">
        <v>35</v>
      </c>
      <c r="L22" s="13"/>
      <c r="M22" s="13"/>
      <c r="N22" s="13"/>
    </row>
    <row r="23" spans="1:14" ht="52.8" x14ac:dyDescent="0.3">
      <c r="A23" s="11">
        <v>19</v>
      </c>
      <c r="B23" s="12" t="s">
        <v>161</v>
      </c>
      <c r="C23" s="11" t="s">
        <v>162</v>
      </c>
      <c r="D23" s="11" t="s">
        <v>121</v>
      </c>
      <c r="E23" s="11" t="s">
        <v>66</v>
      </c>
      <c r="F23" s="11" t="s">
        <v>67</v>
      </c>
      <c r="G23" s="11" t="s">
        <v>163</v>
      </c>
      <c r="H23" s="11" t="s">
        <v>164</v>
      </c>
      <c r="I23" s="11" t="s">
        <v>165</v>
      </c>
      <c r="J23" s="13"/>
      <c r="K23" s="13" t="s">
        <v>35</v>
      </c>
      <c r="L23" s="13"/>
      <c r="M23" s="13"/>
      <c r="N23" s="13"/>
    </row>
    <row r="24" spans="1:14" ht="105.6" x14ac:dyDescent="0.3">
      <c r="A24" s="11">
        <v>20</v>
      </c>
      <c r="B24" s="12" t="s">
        <v>166</v>
      </c>
      <c r="C24" s="11" t="s">
        <v>167</v>
      </c>
      <c r="D24" s="11" t="s">
        <v>121</v>
      </c>
      <c r="E24" s="11" t="s">
        <v>66</v>
      </c>
      <c r="F24" s="11" t="s">
        <v>67</v>
      </c>
      <c r="G24" s="11" t="s">
        <v>168</v>
      </c>
      <c r="H24" s="11" t="s">
        <v>169</v>
      </c>
      <c r="I24" s="11" t="s">
        <v>170</v>
      </c>
      <c r="J24" s="13"/>
      <c r="K24" s="13" t="s">
        <v>35</v>
      </c>
      <c r="L24" s="13"/>
      <c r="M24" s="13"/>
      <c r="N24" s="13"/>
    </row>
    <row r="25" spans="1:14" ht="92.4" x14ac:dyDescent="0.3">
      <c r="A25" s="11">
        <v>21</v>
      </c>
      <c r="B25" s="12" t="s">
        <v>171</v>
      </c>
      <c r="C25" s="11" t="s">
        <v>172</v>
      </c>
      <c r="D25" s="11" t="s">
        <v>121</v>
      </c>
      <c r="E25" s="11" t="s">
        <v>115</v>
      </c>
      <c r="F25" s="11" t="s">
        <v>67</v>
      </c>
      <c r="G25" s="11" t="s">
        <v>173</v>
      </c>
      <c r="H25" s="11" t="s">
        <v>174</v>
      </c>
      <c r="I25" s="11" t="s">
        <v>175</v>
      </c>
      <c r="J25" s="13"/>
      <c r="K25" s="13" t="s">
        <v>35</v>
      </c>
      <c r="L25" s="13"/>
      <c r="M25" s="13"/>
      <c r="N25" s="13"/>
    </row>
    <row r="26" spans="1:14" ht="39.6" x14ac:dyDescent="0.3">
      <c r="A26" s="11">
        <v>22</v>
      </c>
      <c r="B26" s="12" t="s">
        <v>176</v>
      </c>
      <c r="C26" s="11" t="s">
        <v>177</v>
      </c>
      <c r="D26" s="11" t="s">
        <v>100</v>
      </c>
      <c r="E26" s="11" t="s">
        <v>115</v>
      </c>
      <c r="F26" s="11" t="s">
        <v>67</v>
      </c>
      <c r="G26" s="11" t="s">
        <v>178</v>
      </c>
      <c r="H26" s="11" t="s">
        <v>179</v>
      </c>
      <c r="I26" s="11" t="s">
        <v>180</v>
      </c>
      <c r="J26" s="13"/>
      <c r="K26" s="13" t="s">
        <v>35</v>
      </c>
      <c r="L26" s="13"/>
      <c r="M26" s="13"/>
      <c r="N26" s="13"/>
    </row>
    <row r="27" spans="1:14" ht="39.6" x14ac:dyDescent="0.3">
      <c r="A27" s="11">
        <v>23</v>
      </c>
      <c r="B27" s="12" t="s">
        <v>181</v>
      </c>
      <c r="C27" s="11" t="s">
        <v>182</v>
      </c>
      <c r="D27" s="11" t="s">
        <v>100</v>
      </c>
      <c r="E27" s="11" t="s">
        <v>132</v>
      </c>
      <c r="F27" s="11" t="s">
        <v>67</v>
      </c>
      <c r="G27" s="11" t="s">
        <v>143</v>
      </c>
      <c r="H27" s="11" t="s">
        <v>183</v>
      </c>
      <c r="I27" s="11" t="s">
        <v>184</v>
      </c>
      <c r="J27" s="13"/>
      <c r="K27" s="13" t="s">
        <v>35</v>
      </c>
      <c r="L27" s="13"/>
      <c r="M27" s="13"/>
      <c r="N27" s="13"/>
    </row>
  </sheetData>
  <autoFilter ref="A4:N27" xr:uid="{00000000-0009-0000-0000-000002000000}"/>
  <conditionalFormatting sqref="K5:K27">
    <cfRule type="cellIs" dxfId="23" priority="1" operator="equal">
      <formula>"Pass"</formula>
    </cfRule>
    <cfRule type="cellIs" dxfId="22" priority="2" operator="equal">
      <formula>"Fail"</formula>
    </cfRule>
    <cfRule type="cellIs" dxfId="21" priority="3" operator="equal">
      <formula>"Blocked"</formula>
    </cfRule>
  </conditionalFormatting>
  <dataValidations count="1">
    <dataValidation type="list" sqref="K5:K27" xr:uid="{00000000-0002-0000-0200-000000000000}">
      <formula1>"Not Run,Pass,Fail,Blocked,N/A"</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44"/>
  <sheetViews>
    <sheetView zoomScale="90" workbookViewId="0">
      <pane xSplit="3" ySplit="4" topLeftCell="D5" activePane="bottomRight" state="frozen"/>
      <selection pane="topRight"/>
      <selection pane="bottomLeft"/>
      <selection pane="bottomRight"/>
    </sheetView>
  </sheetViews>
  <sheetFormatPr defaultRowHeight="14.4" x14ac:dyDescent="0.3"/>
  <cols>
    <col min="1" max="1" width="6" customWidth="1"/>
    <col min="2" max="2" width="10" customWidth="1"/>
    <col min="3" max="3" width="22" customWidth="1"/>
    <col min="4" max="4" width="14" customWidth="1"/>
    <col min="5" max="5" width="9" customWidth="1"/>
    <col min="6" max="6" width="8" customWidth="1"/>
    <col min="7" max="7" width="34" customWidth="1"/>
    <col min="8" max="8" width="52" customWidth="1"/>
    <col min="9" max="9" width="64" customWidth="1"/>
    <col min="10" max="10" width="36" customWidth="1"/>
    <col min="11" max="11" width="11" customWidth="1"/>
    <col min="12" max="12" width="24" customWidth="1"/>
    <col min="13" max="13" width="12" customWidth="1"/>
    <col min="14" max="14" width="13" customWidth="1"/>
  </cols>
  <sheetData>
    <row r="1" spans="1:14" ht="17.399999999999999" x14ac:dyDescent="0.3">
      <c r="A1" s="4" t="s">
        <v>185</v>
      </c>
    </row>
    <row r="2" spans="1:14" x14ac:dyDescent="0.3">
      <c r="A2" s="5" t="s">
        <v>186</v>
      </c>
    </row>
    <row r="4" spans="1:14" ht="30" customHeight="1" x14ac:dyDescent="0.3">
      <c r="A4" s="6" t="s">
        <v>49</v>
      </c>
      <c r="B4" s="6" t="s">
        <v>50</v>
      </c>
      <c r="C4" s="6" t="s">
        <v>51</v>
      </c>
      <c r="D4" s="6" t="s">
        <v>52</v>
      </c>
      <c r="E4" s="6" t="s">
        <v>53</v>
      </c>
      <c r="F4" s="6" t="s">
        <v>54</v>
      </c>
      <c r="G4" s="6" t="s">
        <v>55</v>
      </c>
      <c r="H4" s="6" t="s">
        <v>56</v>
      </c>
      <c r="I4" s="6" t="s">
        <v>57</v>
      </c>
      <c r="J4" s="6" t="s">
        <v>58</v>
      </c>
      <c r="K4" s="6" t="s">
        <v>59</v>
      </c>
      <c r="L4" s="6" t="s">
        <v>60</v>
      </c>
      <c r="M4" s="6" t="s">
        <v>61</v>
      </c>
      <c r="N4" s="6" t="s">
        <v>62</v>
      </c>
    </row>
    <row r="5" spans="1:14" ht="52.8" x14ac:dyDescent="0.3">
      <c r="A5" s="11">
        <v>1</v>
      </c>
      <c r="B5" s="12" t="s">
        <v>187</v>
      </c>
      <c r="C5" s="11" t="s">
        <v>188</v>
      </c>
      <c r="D5" s="11" t="s">
        <v>84</v>
      </c>
      <c r="E5" s="11" t="s">
        <v>66</v>
      </c>
      <c r="F5" s="11" t="s">
        <v>67</v>
      </c>
      <c r="G5" s="11" t="s">
        <v>79</v>
      </c>
      <c r="H5" s="11" t="s">
        <v>189</v>
      </c>
      <c r="I5" s="11" t="s">
        <v>190</v>
      </c>
      <c r="J5" s="13"/>
      <c r="K5" s="13" t="s">
        <v>35</v>
      </c>
      <c r="L5" s="13"/>
      <c r="M5" s="13"/>
      <c r="N5" s="13"/>
    </row>
    <row r="6" spans="1:14" x14ac:dyDescent="0.3">
      <c r="A6" s="11">
        <v>2</v>
      </c>
      <c r="B6" s="12" t="s">
        <v>191</v>
      </c>
      <c r="C6" s="11" t="s">
        <v>192</v>
      </c>
      <c r="D6" s="11" t="s">
        <v>84</v>
      </c>
      <c r="E6" s="11" t="s">
        <v>115</v>
      </c>
      <c r="F6" s="11" t="s">
        <v>67</v>
      </c>
      <c r="G6" s="11" t="s">
        <v>193</v>
      </c>
      <c r="H6" s="11" t="s">
        <v>194</v>
      </c>
      <c r="I6" s="11" t="s">
        <v>195</v>
      </c>
      <c r="J6" s="13"/>
      <c r="K6" s="13" t="s">
        <v>35</v>
      </c>
      <c r="L6" s="13"/>
      <c r="M6" s="13"/>
      <c r="N6" s="13"/>
    </row>
    <row r="7" spans="1:14" ht="26.4" x14ac:dyDescent="0.3">
      <c r="A7" s="11">
        <v>3</v>
      </c>
      <c r="B7" s="12" t="s">
        <v>196</v>
      </c>
      <c r="C7" s="11" t="s">
        <v>192</v>
      </c>
      <c r="D7" s="11" t="s">
        <v>95</v>
      </c>
      <c r="E7" s="11" t="s">
        <v>115</v>
      </c>
      <c r="F7" s="11" t="s">
        <v>67</v>
      </c>
      <c r="G7" s="11" t="s">
        <v>197</v>
      </c>
      <c r="H7" s="11" t="s">
        <v>198</v>
      </c>
      <c r="I7" s="11" t="s">
        <v>199</v>
      </c>
      <c r="J7" s="13"/>
      <c r="K7" s="13" t="s">
        <v>35</v>
      </c>
      <c r="L7" s="13"/>
      <c r="M7" s="13"/>
      <c r="N7" s="13"/>
    </row>
    <row r="8" spans="1:14" ht="26.4" x14ac:dyDescent="0.3">
      <c r="A8" s="11">
        <v>4</v>
      </c>
      <c r="B8" s="12" t="s">
        <v>200</v>
      </c>
      <c r="C8" s="11" t="s">
        <v>201</v>
      </c>
      <c r="D8" s="11" t="s">
        <v>84</v>
      </c>
      <c r="E8" s="11" t="s">
        <v>66</v>
      </c>
      <c r="F8" s="11" t="s">
        <v>67</v>
      </c>
      <c r="G8" s="11" t="s">
        <v>79</v>
      </c>
      <c r="H8" s="11" t="s">
        <v>202</v>
      </c>
      <c r="I8" s="11" t="s">
        <v>203</v>
      </c>
      <c r="J8" s="13"/>
      <c r="K8" s="13" t="s">
        <v>35</v>
      </c>
      <c r="L8" s="13"/>
      <c r="M8" s="13"/>
      <c r="N8" s="13"/>
    </row>
    <row r="9" spans="1:14" ht="52.8" x14ac:dyDescent="0.3">
      <c r="A9" s="11">
        <v>5</v>
      </c>
      <c r="B9" s="12" t="s">
        <v>204</v>
      </c>
      <c r="C9" s="11" t="s">
        <v>205</v>
      </c>
      <c r="D9" s="11" t="s">
        <v>84</v>
      </c>
      <c r="E9" s="11" t="s">
        <v>66</v>
      </c>
      <c r="F9" s="11" t="s">
        <v>67</v>
      </c>
      <c r="G9" s="11" t="s">
        <v>79</v>
      </c>
      <c r="H9" s="11" t="s">
        <v>206</v>
      </c>
      <c r="I9" s="11" t="s">
        <v>207</v>
      </c>
      <c r="J9" s="13"/>
      <c r="K9" s="13" t="s">
        <v>35</v>
      </c>
      <c r="L9" s="13"/>
      <c r="M9" s="13"/>
      <c r="N9" s="13"/>
    </row>
    <row r="10" spans="1:14" ht="39.6" x14ac:dyDescent="0.3">
      <c r="A10" s="11">
        <v>6</v>
      </c>
      <c r="B10" s="12" t="s">
        <v>208</v>
      </c>
      <c r="C10" s="11" t="s">
        <v>205</v>
      </c>
      <c r="D10" s="11" t="s">
        <v>84</v>
      </c>
      <c r="E10" s="11" t="s">
        <v>66</v>
      </c>
      <c r="F10" s="11" t="s">
        <v>67</v>
      </c>
      <c r="G10" s="11" t="s">
        <v>79</v>
      </c>
      <c r="H10" s="11" t="s">
        <v>209</v>
      </c>
      <c r="I10" s="11" t="s">
        <v>210</v>
      </c>
      <c r="J10" s="13"/>
      <c r="K10" s="13" t="s">
        <v>35</v>
      </c>
      <c r="L10" s="13"/>
      <c r="M10" s="13"/>
      <c r="N10" s="13"/>
    </row>
    <row r="11" spans="1:14" ht="26.4" x14ac:dyDescent="0.3">
      <c r="A11" s="11">
        <v>7</v>
      </c>
      <c r="B11" s="12" t="s">
        <v>211</v>
      </c>
      <c r="C11" s="11" t="s">
        <v>212</v>
      </c>
      <c r="D11" s="11" t="s">
        <v>84</v>
      </c>
      <c r="E11" s="11" t="s">
        <v>115</v>
      </c>
      <c r="F11" s="11" t="s">
        <v>67</v>
      </c>
      <c r="G11" s="11" t="s">
        <v>79</v>
      </c>
      <c r="H11" s="11" t="s">
        <v>213</v>
      </c>
      <c r="I11" s="11" t="s">
        <v>214</v>
      </c>
      <c r="J11" s="13"/>
      <c r="K11" s="13" t="s">
        <v>35</v>
      </c>
      <c r="L11" s="13"/>
      <c r="M11" s="13"/>
      <c r="N11" s="13"/>
    </row>
    <row r="12" spans="1:14" ht="26.4" x14ac:dyDescent="0.3">
      <c r="A12" s="11">
        <v>8</v>
      </c>
      <c r="B12" s="12" t="s">
        <v>215</v>
      </c>
      <c r="C12" s="11" t="s">
        <v>212</v>
      </c>
      <c r="D12" s="11" t="s">
        <v>84</v>
      </c>
      <c r="E12" s="11" t="s">
        <v>115</v>
      </c>
      <c r="F12" s="11" t="s">
        <v>67</v>
      </c>
      <c r="G12" s="11" t="s">
        <v>216</v>
      </c>
      <c r="H12" s="11" t="s">
        <v>217</v>
      </c>
      <c r="I12" s="11" t="s">
        <v>218</v>
      </c>
      <c r="J12" s="13"/>
      <c r="K12" s="13" t="s">
        <v>35</v>
      </c>
      <c r="L12" s="13"/>
      <c r="M12" s="13"/>
      <c r="N12" s="13"/>
    </row>
    <row r="13" spans="1:14" ht="39.6" x14ac:dyDescent="0.3">
      <c r="A13" s="11">
        <v>9</v>
      </c>
      <c r="B13" s="12" t="s">
        <v>219</v>
      </c>
      <c r="C13" s="11" t="s">
        <v>220</v>
      </c>
      <c r="D13" s="11" t="s">
        <v>84</v>
      </c>
      <c r="E13" s="11" t="s">
        <v>115</v>
      </c>
      <c r="F13" s="11" t="s">
        <v>67</v>
      </c>
      <c r="G13" s="11" t="s">
        <v>79</v>
      </c>
      <c r="H13" s="11" t="s">
        <v>221</v>
      </c>
      <c r="I13" s="11" t="s">
        <v>222</v>
      </c>
      <c r="J13" s="13"/>
      <c r="K13" s="13" t="s">
        <v>35</v>
      </c>
      <c r="L13" s="13"/>
      <c r="M13" s="13"/>
      <c r="N13" s="13"/>
    </row>
    <row r="14" spans="1:14" ht="26.4" x14ac:dyDescent="0.3">
      <c r="A14" s="11">
        <v>10</v>
      </c>
      <c r="B14" s="12" t="s">
        <v>223</v>
      </c>
      <c r="C14" s="11" t="s">
        <v>224</v>
      </c>
      <c r="D14" s="11" t="s">
        <v>84</v>
      </c>
      <c r="E14" s="11" t="s">
        <v>66</v>
      </c>
      <c r="F14" s="11" t="s">
        <v>67</v>
      </c>
      <c r="G14" s="11" t="s">
        <v>225</v>
      </c>
      <c r="H14" s="11" t="s">
        <v>226</v>
      </c>
      <c r="I14" s="11" t="s">
        <v>227</v>
      </c>
      <c r="J14" s="13"/>
      <c r="K14" s="13" t="s">
        <v>35</v>
      </c>
      <c r="L14" s="13"/>
      <c r="M14" s="13"/>
      <c r="N14" s="13"/>
    </row>
    <row r="15" spans="1:14" x14ac:dyDescent="0.3">
      <c r="A15" s="11">
        <v>11</v>
      </c>
      <c r="B15" s="12" t="s">
        <v>228</v>
      </c>
      <c r="C15" s="11" t="s">
        <v>229</v>
      </c>
      <c r="D15" s="11" t="s">
        <v>84</v>
      </c>
      <c r="E15" s="11" t="s">
        <v>66</v>
      </c>
      <c r="F15" s="11" t="s">
        <v>67</v>
      </c>
      <c r="G15" s="11" t="s">
        <v>79</v>
      </c>
      <c r="H15" s="11" t="s">
        <v>230</v>
      </c>
      <c r="I15" s="11" t="s">
        <v>231</v>
      </c>
      <c r="J15" s="13"/>
      <c r="K15" s="13" t="s">
        <v>35</v>
      </c>
      <c r="L15" s="13"/>
      <c r="M15" s="13"/>
      <c r="N15" s="13"/>
    </row>
    <row r="16" spans="1:14" ht="26.4" x14ac:dyDescent="0.3">
      <c r="A16" s="11">
        <v>12</v>
      </c>
      <c r="B16" s="12" t="s">
        <v>232</v>
      </c>
      <c r="C16" s="11" t="s">
        <v>233</v>
      </c>
      <c r="D16" s="11" t="s">
        <v>84</v>
      </c>
      <c r="E16" s="11" t="s">
        <v>66</v>
      </c>
      <c r="F16" s="11" t="s">
        <v>67</v>
      </c>
      <c r="G16" s="11" t="s">
        <v>79</v>
      </c>
      <c r="H16" s="11" t="s">
        <v>234</v>
      </c>
      <c r="I16" s="11" t="s">
        <v>235</v>
      </c>
      <c r="J16" s="13"/>
      <c r="K16" s="13" t="s">
        <v>35</v>
      </c>
      <c r="L16" s="13"/>
      <c r="M16" s="13"/>
      <c r="N16" s="13"/>
    </row>
    <row r="17" spans="1:14" x14ac:dyDescent="0.3">
      <c r="A17" s="11">
        <v>13</v>
      </c>
      <c r="B17" s="12" t="s">
        <v>236</v>
      </c>
      <c r="C17" s="11" t="s">
        <v>237</v>
      </c>
      <c r="D17" s="11" t="s">
        <v>84</v>
      </c>
      <c r="E17" s="11" t="s">
        <v>115</v>
      </c>
      <c r="F17" s="11" t="s">
        <v>67</v>
      </c>
      <c r="G17" s="11" t="s">
        <v>79</v>
      </c>
      <c r="H17" s="11" t="s">
        <v>238</v>
      </c>
      <c r="I17" s="11" t="s">
        <v>239</v>
      </c>
      <c r="J17" s="13"/>
      <c r="K17" s="13" t="s">
        <v>35</v>
      </c>
      <c r="L17" s="13"/>
      <c r="M17" s="13"/>
      <c r="N17" s="13"/>
    </row>
    <row r="18" spans="1:14" ht="39.6" x14ac:dyDescent="0.3">
      <c r="A18" s="11">
        <v>14</v>
      </c>
      <c r="B18" s="12" t="s">
        <v>240</v>
      </c>
      <c r="C18" s="11" t="s">
        <v>241</v>
      </c>
      <c r="D18" s="11" t="s">
        <v>84</v>
      </c>
      <c r="E18" s="11" t="s">
        <v>115</v>
      </c>
      <c r="F18" s="11" t="s">
        <v>67</v>
      </c>
      <c r="G18" s="11" t="s">
        <v>79</v>
      </c>
      <c r="H18" s="11" t="s">
        <v>242</v>
      </c>
      <c r="I18" s="11" t="s">
        <v>243</v>
      </c>
      <c r="J18" s="13"/>
      <c r="K18" s="13" t="s">
        <v>35</v>
      </c>
      <c r="L18" s="13"/>
      <c r="M18" s="13"/>
      <c r="N18" s="13"/>
    </row>
    <row r="19" spans="1:14" ht="26.4" x14ac:dyDescent="0.3">
      <c r="A19" s="11">
        <v>15</v>
      </c>
      <c r="B19" s="12" t="s">
        <v>244</v>
      </c>
      <c r="C19" s="11" t="s">
        <v>245</v>
      </c>
      <c r="D19" s="11" t="s">
        <v>84</v>
      </c>
      <c r="E19" s="11" t="s">
        <v>115</v>
      </c>
      <c r="F19" s="11" t="s">
        <v>67</v>
      </c>
      <c r="G19" s="11" t="s">
        <v>246</v>
      </c>
      <c r="H19" s="11" t="s">
        <v>247</v>
      </c>
      <c r="I19" s="11" t="s">
        <v>248</v>
      </c>
      <c r="J19" s="13"/>
      <c r="K19" s="13" t="s">
        <v>35</v>
      </c>
      <c r="L19" s="13"/>
      <c r="M19" s="13"/>
      <c r="N19" s="13"/>
    </row>
    <row r="20" spans="1:14" ht="26.4" x14ac:dyDescent="0.3">
      <c r="A20" s="11">
        <v>16</v>
      </c>
      <c r="B20" s="12" t="s">
        <v>249</v>
      </c>
      <c r="C20" s="11" t="s">
        <v>250</v>
      </c>
      <c r="D20" s="11" t="s">
        <v>84</v>
      </c>
      <c r="E20" s="11" t="s">
        <v>66</v>
      </c>
      <c r="F20" s="11" t="s">
        <v>67</v>
      </c>
      <c r="G20" s="11" t="s">
        <v>251</v>
      </c>
      <c r="H20" s="11" t="s">
        <v>252</v>
      </c>
      <c r="I20" s="11" t="s">
        <v>253</v>
      </c>
      <c r="J20" s="13"/>
      <c r="K20" s="13" t="s">
        <v>35</v>
      </c>
      <c r="L20" s="13"/>
      <c r="M20" s="13"/>
      <c r="N20" s="13"/>
    </row>
    <row r="21" spans="1:14" ht="26.4" x14ac:dyDescent="0.3">
      <c r="A21" s="11">
        <v>17</v>
      </c>
      <c r="B21" s="12" t="s">
        <v>254</v>
      </c>
      <c r="C21" s="11" t="s">
        <v>255</v>
      </c>
      <c r="D21" s="11" t="s">
        <v>84</v>
      </c>
      <c r="E21" s="11" t="s">
        <v>66</v>
      </c>
      <c r="F21" s="11" t="s">
        <v>67</v>
      </c>
      <c r="G21" s="11" t="s">
        <v>256</v>
      </c>
      <c r="H21" s="11" t="s">
        <v>257</v>
      </c>
      <c r="I21" s="11" t="s">
        <v>258</v>
      </c>
      <c r="J21" s="13"/>
      <c r="K21" s="13" t="s">
        <v>35</v>
      </c>
      <c r="L21" s="13"/>
      <c r="M21" s="13"/>
      <c r="N21" s="13"/>
    </row>
    <row r="22" spans="1:14" ht="26.4" x14ac:dyDescent="0.3">
      <c r="A22" s="11">
        <v>18</v>
      </c>
      <c r="B22" s="12" t="s">
        <v>259</v>
      </c>
      <c r="C22" s="11" t="s">
        <v>260</v>
      </c>
      <c r="D22" s="11" t="s">
        <v>84</v>
      </c>
      <c r="E22" s="11" t="s">
        <v>66</v>
      </c>
      <c r="F22" s="11" t="s">
        <v>67</v>
      </c>
      <c r="G22" s="11" t="s">
        <v>261</v>
      </c>
      <c r="H22" s="11" t="s">
        <v>257</v>
      </c>
      <c r="I22" s="11" t="s">
        <v>262</v>
      </c>
      <c r="J22" s="13"/>
      <c r="K22" s="13" t="s">
        <v>35</v>
      </c>
      <c r="L22" s="13"/>
      <c r="M22" s="13"/>
      <c r="N22" s="13"/>
    </row>
    <row r="23" spans="1:14" ht="52.8" x14ac:dyDescent="0.3">
      <c r="A23" s="11">
        <v>19</v>
      </c>
      <c r="B23" s="12" t="s">
        <v>263</v>
      </c>
      <c r="C23" s="11" t="s">
        <v>264</v>
      </c>
      <c r="D23" s="11" t="s">
        <v>84</v>
      </c>
      <c r="E23" s="11" t="s">
        <v>66</v>
      </c>
      <c r="F23" s="11" t="s">
        <v>67</v>
      </c>
      <c r="G23" s="11" t="s">
        <v>265</v>
      </c>
      <c r="H23" s="11" t="s">
        <v>257</v>
      </c>
      <c r="I23" s="11" t="s">
        <v>266</v>
      </c>
      <c r="J23" s="13"/>
      <c r="K23" s="13" t="s">
        <v>35</v>
      </c>
      <c r="L23" s="13"/>
      <c r="M23" s="13"/>
      <c r="N23" s="13"/>
    </row>
    <row r="24" spans="1:14" ht="26.4" x14ac:dyDescent="0.3">
      <c r="A24" s="11">
        <v>20</v>
      </c>
      <c r="B24" s="12" t="s">
        <v>267</v>
      </c>
      <c r="C24" s="11" t="s">
        <v>268</v>
      </c>
      <c r="D24" s="11" t="s">
        <v>84</v>
      </c>
      <c r="E24" s="11" t="s">
        <v>115</v>
      </c>
      <c r="F24" s="11" t="s">
        <v>67</v>
      </c>
      <c r="G24" s="11" t="s">
        <v>269</v>
      </c>
      <c r="H24" s="11" t="s">
        <v>270</v>
      </c>
      <c r="I24" s="11" t="s">
        <v>271</v>
      </c>
      <c r="J24" s="13"/>
      <c r="K24" s="13" t="s">
        <v>35</v>
      </c>
      <c r="L24" s="13"/>
      <c r="M24" s="13"/>
      <c r="N24" s="13"/>
    </row>
    <row r="25" spans="1:14" ht="26.4" x14ac:dyDescent="0.3">
      <c r="A25" s="11">
        <v>21</v>
      </c>
      <c r="B25" s="12" t="s">
        <v>272</v>
      </c>
      <c r="C25" s="11" t="s">
        <v>273</v>
      </c>
      <c r="D25" s="11" t="s">
        <v>84</v>
      </c>
      <c r="E25" s="11" t="s">
        <v>66</v>
      </c>
      <c r="F25" s="11" t="s">
        <v>67</v>
      </c>
      <c r="G25" s="11" t="s">
        <v>79</v>
      </c>
      <c r="H25" s="11" t="s">
        <v>274</v>
      </c>
      <c r="I25" s="11" t="s">
        <v>275</v>
      </c>
      <c r="J25" s="13"/>
      <c r="K25" s="13" t="s">
        <v>35</v>
      </c>
      <c r="L25" s="13"/>
      <c r="M25" s="13"/>
      <c r="N25" s="13"/>
    </row>
    <row r="26" spans="1:14" ht="26.4" x14ac:dyDescent="0.3">
      <c r="A26" s="11">
        <v>22</v>
      </c>
      <c r="B26" s="12" t="s">
        <v>276</v>
      </c>
      <c r="C26" s="11" t="s">
        <v>277</v>
      </c>
      <c r="D26" s="11" t="s">
        <v>84</v>
      </c>
      <c r="E26" s="11" t="s">
        <v>115</v>
      </c>
      <c r="F26" s="11" t="s">
        <v>67</v>
      </c>
      <c r="G26" s="11" t="s">
        <v>278</v>
      </c>
      <c r="H26" s="11" t="s">
        <v>279</v>
      </c>
      <c r="I26" s="11" t="s">
        <v>280</v>
      </c>
      <c r="J26" s="13"/>
      <c r="K26" s="13" t="s">
        <v>35</v>
      </c>
      <c r="L26" s="13"/>
      <c r="M26" s="13"/>
      <c r="N26" s="13"/>
    </row>
    <row r="27" spans="1:14" ht="26.4" x14ac:dyDescent="0.3">
      <c r="A27" s="11">
        <v>23</v>
      </c>
      <c r="B27" s="12" t="s">
        <v>281</v>
      </c>
      <c r="C27" s="11" t="s">
        <v>282</v>
      </c>
      <c r="D27" s="11" t="s">
        <v>84</v>
      </c>
      <c r="E27" s="11" t="s">
        <v>115</v>
      </c>
      <c r="F27" s="11" t="s">
        <v>67</v>
      </c>
      <c r="G27" s="11" t="s">
        <v>283</v>
      </c>
      <c r="H27" s="11" t="s">
        <v>284</v>
      </c>
      <c r="I27" s="11" t="s">
        <v>285</v>
      </c>
      <c r="J27" s="13"/>
      <c r="K27" s="13" t="s">
        <v>35</v>
      </c>
      <c r="L27" s="13"/>
      <c r="M27" s="13"/>
      <c r="N27" s="13"/>
    </row>
    <row r="28" spans="1:14" x14ac:dyDescent="0.3">
      <c r="A28" s="11">
        <v>24</v>
      </c>
      <c r="B28" s="12" t="s">
        <v>286</v>
      </c>
      <c r="C28" s="11" t="s">
        <v>287</v>
      </c>
      <c r="D28" s="11" t="s">
        <v>84</v>
      </c>
      <c r="E28" s="11" t="s">
        <v>115</v>
      </c>
      <c r="F28" s="11" t="s">
        <v>67</v>
      </c>
      <c r="G28" s="11" t="s">
        <v>288</v>
      </c>
      <c r="H28" s="11" t="s">
        <v>289</v>
      </c>
      <c r="I28" s="11" t="s">
        <v>290</v>
      </c>
      <c r="J28" s="13"/>
      <c r="K28" s="13" t="s">
        <v>35</v>
      </c>
      <c r="L28" s="13"/>
      <c r="M28" s="13"/>
      <c r="N28" s="13"/>
    </row>
    <row r="29" spans="1:14" ht="26.4" x14ac:dyDescent="0.3">
      <c r="A29" s="11">
        <v>25</v>
      </c>
      <c r="B29" s="12" t="s">
        <v>291</v>
      </c>
      <c r="C29" s="11" t="s">
        <v>292</v>
      </c>
      <c r="D29" s="11" t="s">
        <v>84</v>
      </c>
      <c r="E29" s="11" t="s">
        <v>132</v>
      </c>
      <c r="F29" s="11" t="s">
        <v>67</v>
      </c>
      <c r="G29" s="11" t="s">
        <v>79</v>
      </c>
      <c r="H29" s="11" t="s">
        <v>293</v>
      </c>
      <c r="I29" s="11" t="s">
        <v>294</v>
      </c>
      <c r="J29" s="13"/>
      <c r="K29" s="13" t="s">
        <v>35</v>
      </c>
      <c r="L29" s="13"/>
      <c r="M29" s="13"/>
      <c r="N29" s="13"/>
    </row>
    <row r="30" spans="1:14" x14ac:dyDescent="0.3">
      <c r="A30" s="11">
        <v>26</v>
      </c>
      <c r="B30" s="12" t="s">
        <v>295</v>
      </c>
      <c r="C30" s="11" t="s">
        <v>296</v>
      </c>
      <c r="D30" s="11" t="s">
        <v>84</v>
      </c>
      <c r="E30" s="11" t="s">
        <v>115</v>
      </c>
      <c r="F30" s="11" t="s">
        <v>67</v>
      </c>
      <c r="G30" s="11" t="s">
        <v>297</v>
      </c>
      <c r="H30" s="11" t="s">
        <v>298</v>
      </c>
      <c r="I30" s="11" t="s">
        <v>299</v>
      </c>
      <c r="J30" s="13"/>
      <c r="K30" s="13" t="s">
        <v>35</v>
      </c>
      <c r="L30" s="13"/>
      <c r="M30" s="13"/>
      <c r="N30" s="13"/>
    </row>
    <row r="31" spans="1:14" ht="79.2" x14ac:dyDescent="0.3">
      <c r="A31" s="11">
        <v>27</v>
      </c>
      <c r="B31" s="12" t="s">
        <v>300</v>
      </c>
      <c r="C31" s="11" t="s">
        <v>301</v>
      </c>
      <c r="D31" s="11" t="s">
        <v>84</v>
      </c>
      <c r="E31" s="11" t="s">
        <v>66</v>
      </c>
      <c r="F31" s="11" t="s">
        <v>67</v>
      </c>
      <c r="G31" s="11" t="s">
        <v>302</v>
      </c>
      <c r="H31" s="11" t="s">
        <v>303</v>
      </c>
      <c r="I31" s="11" t="s">
        <v>304</v>
      </c>
      <c r="J31" s="13"/>
      <c r="K31" s="13" t="s">
        <v>35</v>
      </c>
      <c r="L31" s="13"/>
      <c r="M31" s="13"/>
      <c r="N31" s="13"/>
    </row>
    <row r="32" spans="1:14" ht="52.8" x14ac:dyDescent="0.3">
      <c r="A32" s="11">
        <v>28</v>
      </c>
      <c r="B32" s="12" t="s">
        <v>305</v>
      </c>
      <c r="C32" s="11" t="s">
        <v>306</v>
      </c>
      <c r="D32" s="11" t="s">
        <v>84</v>
      </c>
      <c r="E32" s="11" t="s">
        <v>115</v>
      </c>
      <c r="F32" s="11" t="s">
        <v>67</v>
      </c>
      <c r="G32" s="11" t="s">
        <v>307</v>
      </c>
      <c r="H32" s="11" t="s">
        <v>308</v>
      </c>
      <c r="I32" s="11" t="s">
        <v>309</v>
      </c>
      <c r="J32" s="13"/>
      <c r="K32" s="13" t="s">
        <v>35</v>
      </c>
      <c r="L32" s="13"/>
      <c r="M32" s="13"/>
      <c r="N32" s="13"/>
    </row>
    <row r="33" spans="1:14" ht="26.4" x14ac:dyDescent="0.3">
      <c r="A33" s="11">
        <v>29</v>
      </c>
      <c r="B33" s="12" t="s">
        <v>310</v>
      </c>
      <c r="C33" s="11" t="s">
        <v>311</v>
      </c>
      <c r="D33" s="11" t="s">
        <v>84</v>
      </c>
      <c r="E33" s="11" t="s">
        <v>115</v>
      </c>
      <c r="F33" s="11" t="s">
        <v>67</v>
      </c>
      <c r="G33" s="11" t="s">
        <v>312</v>
      </c>
      <c r="H33" s="11" t="s">
        <v>313</v>
      </c>
      <c r="I33" s="11" t="s">
        <v>314</v>
      </c>
      <c r="J33" s="13"/>
      <c r="K33" s="13" t="s">
        <v>35</v>
      </c>
      <c r="L33" s="13"/>
      <c r="M33" s="13"/>
      <c r="N33" s="13"/>
    </row>
    <row r="34" spans="1:14" ht="79.2" x14ac:dyDescent="0.3">
      <c r="A34" s="11">
        <v>30</v>
      </c>
      <c r="B34" s="12" t="s">
        <v>315</v>
      </c>
      <c r="C34" s="11" t="s">
        <v>316</v>
      </c>
      <c r="D34" s="11" t="s">
        <v>84</v>
      </c>
      <c r="E34" s="11" t="s">
        <v>66</v>
      </c>
      <c r="F34" s="11" t="s">
        <v>67</v>
      </c>
      <c r="G34" s="11" t="s">
        <v>317</v>
      </c>
      <c r="H34" s="11" t="s">
        <v>318</v>
      </c>
      <c r="I34" s="11" t="s">
        <v>319</v>
      </c>
      <c r="J34" s="13"/>
      <c r="K34" s="13" t="s">
        <v>35</v>
      </c>
      <c r="L34" s="13"/>
      <c r="M34" s="13"/>
      <c r="N34" s="13"/>
    </row>
    <row r="35" spans="1:14" ht="39.6" x14ac:dyDescent="0.3">
      <c r="A35" s="11">
        <v>31</v>
      </c>
      <c r="B35" s="12" t="s">
        <v>320</v>
      </c>
      <c r="C35" s="11" t="s">
        <v>316</v>
      </c>
      <c r="D35" s="11" t="s">
        <v>95</v>
      </c>
      <c r="E35" s="11" t="s">
        <v>115</v>
      </c>
      <c r="F35" s="11" t="s">
        <v>67</v>
      </c>
      <c r="G35" s="11" t="s">
        <v>321</v>
      </c>
      <c r="H35" s="11" t="s">
        <v>322</v>
      </c>
      <c r="I35" s="11" t="s">
        <v>323</v>
      </c>
      <c r="J35" s="13"/>
      <c r="K35" s="13" t="s">
        <v>35</v>
      </c>
      <c r="L35" s="13"/>
      <c r="M35" s="13"/>
      <c r="N35" s="13"/>
    </row>
    <row r="36" spans="1:14" ht="26.4" x14ac:dyDescent="0.3">
      <c r="A36" s="11">
        <v>32</v>
      </c>
      <c r="B36" s="12" t="s">
        <v>324</v>
      </c>
      <c r="C36" s="11" t="s">
        <v>325</v>
      </c>
      <c r="D36" s="11" t="s">
        <v>84</v>
      </c>
      <c r="E36" s="11" t="s">
        <v>115</v>
      </c>
      <c r="F36" s="11" t="s">
        <v>67</v>
      </c>
      <c r="G36" s="11" t="s">
        <v>79</v>
      </c>
      <c r="H36" s="11" t="s">
        <v>326</v>
      </c>
      <c r="I36" s="11" t="s">
        <v>327</v>
      </c>
      <c r="J36" s="13"/>
      <c r="K36" s="13" t="s">
        <v>35</v>
      </c>
      <c r="L36" s="13"/>
      <c r="M36" s="13"/>
      <c r="N36" s="13"/>
    </row>
    <row r="37" spans="1:14" ht="52.8" x14ac:dyDescent="0.3">
      <c r="A37" s="11">
        <v>33</v>
      </c>
      <c r="B37" s="12" t="s">
        <v>328</v>
      </c>
      <c r="C37" s="11" t="s">
        <v>329</v>
      </c>
      <c r="D37" s="11" t="s">
        <v>84</v>
      </c>
      <c r="E37" s="11" t="s">
        <v>66</v>
      </c>
      <c r="F37" s="11" t="s">
        <v>67</v>
      </c>
      <c r="G37" s="11" t="s">
        <v>330</v>
      </c>
      <c r="H37" s="11" t="s">
        <v>331</v>
      </c>
      <c r="I37" s="11" t="s">
        <v>332</v>
      </c>
      <c r="J37" s="13"/>
      <c r="K37" s="13" t="s">
        <v>35</v>
      </c>
      <c r="L37" s="13"/>
      <c r="M37" s="13"/>
      <c r="N37" s="13"/>
    </row>
    <row r="38" spans="1:14" ht="39.6" x14ac:dyDescent="0.3">
      <c r="A38" s="11">
        <v>34</v>
      </c>
      <c r="B38" s="12" t="s">
        <v>333</v>
      </c>
      <c r="C38" s="11" t="s">
        <v>334</v>
      </c>
      <c r="D38" s="11" t="s">
        <v>84</v>
      </c>
      <c r="E38" s="11" t="s">
        <v>66</v>
      </c>
      <c r="F38" s="11" t="s">
        <v>67</v>
      </c>
      <c r="G38" s="11" t="s">
        <v>335</v>
      </c>
      <c r="H38" s="11" t="s">
        <v>331</v>
      </c>
      <c r="I38" s="11" t="s">
        <v>336</v>
      </c>
      <c r="J38" s="13"/>
      <c r="K38" s="13" t="s">
        <v>35</v>
      </c>
      <c r="L38" s="13"/>
      <c r="M38" s="13"/>
      <c r="N38" s="13"/>
    </row>
    <row r="39" spans="1:14" ht="39.6" x14ac:dyDescent="0.3">
      <c r="A39" s="11">
        <v>35</v>
      </c>
      <c r="B39" s="12" t="s">
        <v>337</v>
      </c>
      <c r="C39" s="11" t="s">
        <v>338</v>
      </c>
      <c r="D39" s="11" t="s">
        <v>339</v>
      </c>
      <c r="E39" s="11" t="s">
        <v>66</v>
      </c>
      <c r="F39" s="11" t="s">
        <v>67</v>
      </c>
      <c r="G39" s="11" t="s">
        <v>340</v>
      </c>
      <c r="H39" s="11" t="s">
        <v>341</v>
      </c>
      <c r="I39" s="11" t="s">
        <v>342</v>
      </c>
      <c r="J39" s="13"/>
      <c r="K39" s="13" t="s">
        <v>35</v>
      </c>
      <c r="L39" s="13"/>
      <c r="M39" s="13"/>
      <c r="N39" s="13"/>
    </row>
    <row r="40" spans="1:14" ht="52.8" x14ac:dyDescent="0.3">
      <c r="A40" s="11">
        <v>36</v>
      </c>
      <c r="B40" s="12" t="s">
        <v>343</v>
      </c>
      <c r="C40" s="11" t="s">
        <v>344</v>
      </c>
      <c r="D40" s="11" t="s">
        <v>339</v>
      </c>
      <c r="E40" s="11" t="s">
        <v>66</v>
      </c>
      <c r="F40" s="11" t="s">
        <v>67</v>
      </c>
      <c r="G40" s="11" t="s">
        <v>345</v>
      </c>
      <c r="H40" s="11" t="s">
        <v>346</v>
      </c>
      <c r="I40" s="11" t="s">
        <v>347</v>
      </c>
      <c r="J40" s="13"/>
      <c r="K40" s="13" t="s">
        <v>35</v>
      </c>
      <c r="L40" s="13"/>
      <c r="M40" s="13"/>
      <c r="N40" s="13"/>
    </row>
    <row r="41" spans="1:14" ht="26.4" x14ac:dyDescent="0.3">
      <c r="A41" s="11">
        <v>37</v>
      </c>
      <c r="B41" s="12" t="s">
        <v>348</v>
      </c>
      <c r="C41" s="11" t="s">
        <v>349</v>
      </c>
      <c r="D41" s="11" t="s">
        <v>84</v>
      </c>
      <c r="E41" s="11" t="s">
        <v>115</v>
      </c>
      <c r="F41" s="11" t="s">
        <v>67</v>
      </c>
      <c r="G41" s="11" t="s">
        <v>350</v>
      </c>
      <c r="H41" s="11" t="s">
        <v>351</v>
      </c>
      <c r="I41" s="11" t="s">
        <v>352</v>
      </c>
      <c r="J41" s="13"/>
      <c r="K41" s="13" t="s">
        <v>35</v>
      </c>
      <c r="L41" s="13"/>
      <c r="M41" s="13"/>
      <c r="N41" s="13"/>
    </row>
    <row r="42" spans="1:14" x14ac:dyDescent="0.3">
      <c r="A42" s="11">
        <v>38</v>
      </c>
      <c r="B42" s="12" t="s">
        <v>353</v>
      </c>
      <c r="C42" s="11" t="s">
        <v>354</v>
      </c>
      <c r="D42" s="11" t="s">
        <v>84</v>
      </c>
      <c r="E42" s="11" t="s">
        <v>115</v>
      </c>
      <c r="F42" s="11" t="s">
        <v>67</v>
      </c>
      <c r="G42" s="11" t="s">
        <v>355</v>
      </c>
      <c r="H42" s="11" t="s">
        <v>356</v>
      </c>
      <c r="I42" s="11" t="s">
        <v>357</v>
      </c>
      <c r="J42" s="13"/>
      <c r="K42" s="13" t="s">
        <v>35</v>
      </c>
      <c r="L42" s="13"/>
      <c r="M42" s="13"/>
      <c r="N42" s="13"/>
    </row>
    <row r="43" spans="1:14" ht="39.6" x14ac:dyDescent="0.3">
      <c r="A43" s="11">
        <v>39</v>
      </c>
      <c r="B43" s="12" t="s">
        <v>358</v>
      </c>
      <c r="C43" s="11" t="s">
        <v>359</v>
      </c>
      <c r="D43" s="11" t="s">
        <v>84</v>
      </c>
      <c r="E43" s="11" t="s">
        <v>115</v>
      </c>
      <c r="F43" s="11" t="s">
        <v>67</v>
      </c>
      <c r="G43" s="11" t="s">
        <v>297</v>
      </c>
      <c r="H43" s="11" t="s">
        <v>360</v>
      </c>
      <c r="I43" s="11" t="s">
        <v>361</v>
      </c>
      <c r="J43" s="13"/>
      <c r="K43" s="13" t="s">
        <v>35</v>
      </c>
      <c r="L43" s="13"/>
      <c r="M43" s="13"/>
      <c r="N43" s="13"/>
    </row>
    <row r="44" spans="1:14" ht="39.6" x14ac:dyDescent="0.3">
      <c r="A44" s="11">
        <v>40</v>
      </c>
      <c r="B44" s="12" t="s">
        <v>362</v>
      </c>
      <c r="C44" s="11" t="s">
        <v>363</v>
      </c>
      <c r="D44" s="11" t="s">
        <v>73</v>
      </c>
      <c r="E44" s="11" t="s">
        <v>132</v>
      </c>
      <c r="F44" s="11" t="s">
        <v>67</v>
      </c>
      <c r="G44" s="11" t="s">
        <v>364</v>
      </c>
      <c r="H44" s="11" t="s">
        <v>365</v>
      </c>
      <c r="I44" s="11" t="s">
        <v>366</v>
      </c>
      <c r="J44" s="13"/>
      <c r="K44" s="13" t="s">
        <v>35</v>
      </c>
      <c r="L44" s="13"/>
      <c r="M44" s="13"/>
      <c r="N44" s="13"/>
    </row>
  </sheetData>
  <autoFilter ref="A4:N44" xr:uid="{00000000-0009-0000-0000-000003000000}"/>
  <conditionalFormatting sqref="K5:K44">
    <cfRule type="cellIs" dxfId="20" priority="1" operator="equal">
      <formula>"Pass"</formula>
    </cfRule>
    <cfRule type="cellIs" dxfId="19" priority="2" operator="equal">
      <formula>"Fail"</formula>
    </cfRule>
    <cfRule type="cellIs" dxfId="18" priority="3" operator="equal">
      <formula>"Blocked"</formula>
    </cfRule>
  </conditionalFormatting>
  <dataValidations count="1">
    <dataValidation type="list" sqref="K5:K44" xr:uid="{00000000-0002-0000-0300-000000000000}">
      <formula1>"Not Run,Pass,Fail,Blocked,N/A"</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30"/>
  <sheetViews>
    <sheetView zoomScale="90" workbookViewId="0">
      <pane xSplit="3" ySplit="4" topLeftCell="D5" activePane="bottomRight" state="frozen"/>
      <selection pane="topRight"/>
      <selection pane="bottomLeft"/>
      <selection pane="bottomRight"/>
    </sheetView>
  </sheetViews>
  <sheetFormatPr defaultRowHeight="14.4" x14ac:dyDescent="0.3"/>
  <cols>
    <col min="1" max="1" width="6" customWidth="1"/>
    <col min="2" max="2" width="10" customWidth="1"/>
    <col min="3" max="3" width="22" customWidth="1"/>
    <col min="4" max="4" width="14" customWidth="1"/>
    <col min="5" max="5" width="9" customWidth="1"/>
    <col min="6" max="6" width="8" customWidth="1"/>
    <col min="7" max="7" width="34" customWidth="1"/>
    <col min="8" max="8" width="52" customWidth="1"/>
    <col min="9" max="9" width="64" customWidth="1"/>
    <col min="10" max="10" width="36" customWidth="1"/>
    <col min="11" max="11" width="11" customWidth="1"/>
    <col min="12" max="12" width="24" customWidth="1"/>
    <col min="13" max="13" width="12" customWidth="1"/>
    <col min="14" max="14" width="13" customWidth="1"/>
  </cols>
  <sheetData>
    <row r="1" spans="1:14" ht="17.399999999999999" x14ac:dyDescent="0.3">
      <c r="A1" s="4" t="s">
        <v>367</v>
      </c>
    </row>
    <row r="2" spans="1:14" x14ac:dyDescent="0.3">
      <c r="A2" s="5" t="s">
        <v>368</v>
      </c>
    </row>
    <row r="4" spans="1:14" ht="30" customHeight="1" x14ac:dyDescent="0.3">
      <c r="A4" s="6" t="s">
        <v>49</v>
      </c>
      <c r="B4" s="6" t="s">
        <v>50</v>
      </c>
      <c r="C4" s="6" t="s">
        <v>51</v>
      </c>
      <c r="D4" s="6" t="s">
        <v>52</v>
      </c>
      <c r="E4" s="6" t="s">
        <v>53</v>
      </c>
      <c r="F4" s="6" t="s">
        <v>54</v>
      </c>
      <c r="G4" s="6" t="s">
        <v>55</v>
      </c>
      <c r="H4" s="6" t="s">
        <v>56</v>
      </c>
      <c r="I4" s="6" t="s">
        <v>57</v>
      </c>
      <c r="J4" s="6" t="s">
        <v>58</v>
      </c>
      <c r="K4" s="6" t="s">
        <v>59</v>
      </c>
      <c r="L4" s="6" t="s">
        <v>60</v>
      </c>
      <c r="M4" s="6" t="s">
        <v>61</v>
      </c>
      <c r="N4" s="6" t="s">
        <v>62</v>
      </c>
    </row>
    <row r="5" spans="1:14" ht="105.6" x14ac:dyDescent="0.3">
      <c r="A5" s="11">
        <v>1</v>
      </c>
      <c r="B5" s="12" t="s">
        <v>369</v>
      </c>
      <c r="C5" s="11" t="s">
        <v>370</v>
      </c>
      <c r="D5" s="11" t="s">
        <v>84</v>
      </c>
      <c r="E5" s="11" t="s">
        <v>66</v>
      </c>
      <c r="F5" s="11" t="s">
        <v>67</v>
      </c>
      <c r="G5" s="11" t="s">
        <v>371</v>
      </c>
      <c r="H5" s="11" t="s">
        <v>372</v>
      </c>
      <c r="I5" s="11" t="s">
        <v>373</v>
      </c>
      <c r="J5" s="13"/>
      <c r="K5" s="13" t="s">
        <v>35</v>
      </c>
      <c r="L5" s="13"/>
      <c r="M5" s="13"/>
      <c r="N5" s="13"/>
    </row>
    <row r="6" spans="1:14" ht="39.6" x14ac:dyDescent="0.3">
      <c r="A6" s="11">
        <v>2</v>
      </c>
      <c r="B6" s="12" t="s">
        <v>374</v>
      </c>
      <c r="C6" s="11" t="s">
        <v>375</v>
      </c>
      <c r="D6" s="11" t="s">
        <v>84</v>
      </c>
      <c r="E6" s="11" t="s">
        <v>66</v>
      </c>
      <c r="F6" s="11" t="s">
        <v>67</v>
      </c>
      <c r="G6" s="11" t="s">
        <v>371</v>
      </c>
      <c r="H6" s="11" t="s">
        <v>376</v>
      </c>
      <c r="I6" s="11" t="s">
        <v>377</v>
      </c>
      <c r="J6" s="13"/>
      <c r="K6" s="13" t="s">
        <v>35</v>
      </c>
      <c r="L6" s="13"/>
      <c r="M6" s="13"/>
      <c r="N6" s="13"/>
    </row>
    <row r="7" spans="1:14" ht="52.8" x14ac:dyDescent="0.3">
      <c r="A7" s="11">
        <v>3</v>
      </c>
      <c r="B7" s="12" t="s">
        <v>378</v>
      </c>
      <c r="C7" s="11" t="s">
        <v>379</v>
      </c>
      <c r="D7" s="11" t="s">
        <v>84</v>
      </c>
      <c r="E7" s="11" t="s">
        <v>66</v>
      </c>
      <c r="F7" s="11" t="s">
        <v>67</v>
      </c>
      <c r="G7" s="11" t="s">
        <v>371</v>
      </c>
      <c r="H7" s="11" t="s">
        <v>380</v>
      </c>
      <c r="I7" s="11" t="s">
        <v>381</v>
      </c>
      <c r="J7" s="13"/>
      <c r="K7" s="13" t="s">
        <v>35</v>
      </c>
      <c r="L7" s="13"/>
      <c r="M7" s="13"/>
      <c r="N7" s="13"/>
    </row>
    <row r="8" spans="1:14" ht="39.6" x14ac:dyDescent="0.3">
      <c r="A8" s="11">
        <v>4</v>
      </c>
      <c r="B8" s="12" t="s">
        <v>382</v>
      </c>
      <c r="C8" s="11" t="s">
        <v>383</v>
      </c>
      <c r="D8" s="11" t="s">
        <v>84</v>
      </c>
      <c r="E8" s="11" t="s">
        <v>115</v>
      </c>
      <c r="F8" s="11" t="s">
        <v>67</v>
      </c>
      <c r="G8" s="11" t="s">
        <v>371</v>
      </c>
      <c r="H8" s="11" t="s">
        <v>384</v>
      </c>
      <c r="I8" s="11" t="s">
        <v>385</v>
      </c>
      <c r="J8" s="13"/>
      <c r="K8" s="13" t="s">
        <v>35</v>
      </c>
      <c r="L8" s="13"/>
      <c r="M8" s="13"/>
      <c r="N8" s="13"/>
    </row>
    <row r="9" spans="1:14" ht="39.6" x14ac:dyDescent="0.3">
      <c r="A9" s="11">
        <v>5</v>
      </c>
      <c r="B9" s="12" t="s">
        <v>386</v>
      </c>
      <c r="C9" s="11" t="s">
        <v>387</v>
      </c>
      <c r="D9" s="11" t="s">
        <v>84</v>
      </c>
      <c r="E9" s="11" t="s">
        <v>115</v>
      </c>
      <c r="F9" s="11" t="s">
        <v>67</v>
      </c>
      <c r="G9" s="11" t="s">
        <v>371</v>
      </c>
      <c r="H9" s="11" t="s">
        <v>388</v>
      </c>
      <c r="I9" s="11" t="s">
        <v>389</v>
      </c>
      <c r="J9" s="13"/>
      <c r="K9" s="13" t="s">
        <v>35</v>
      </c>
      <c r="L9" s="13"/>
      <c r="M9" s="13"/>
      <c r="N9" s="13"/>
    </row>
    <row r="10" spans="1:14" ht="39.6" x14ac:dyDescent="0.3">
      <c r="A10" s="11">
        <v>6</v>
      </c>
      <c r="B10" s="12" t="s">
        <v>390</v>
      </c>
      <c r="C10" s="11" t="s">
        <v>391</v>
      </c>
      <c r="D10" s="11" t="s">
        <v>84</v>
      </c>
      <c r="E10" s="11" t="s">
        <v>115</v>
      </c>
      <c r="F10" s="11" t="s">
        <v>67</v>
      </c>
      <c r="G10" s="11" t="s">
        <v>371</v>
      </c>
      <c r="H10" s="11" t="s">
        <v>392</v>
      </c>
      <c r="I10" s="11" t="s">
        <v>393</v>
      </c>
      <c r="J10" s="13"/>
      <c r="K10" s="13" t="s">
        <v>35</v>
      </c>
      <c r="L10" s="13"/>
      <c r="M10" s="13"/>
      <c r="N10" s="13"/>
    </row>
    <row r="11" spans="1:14" ht="39.6" x14ac:dyDescent="0.3">
      <c r="A11" s="11">
        <v>7</v>
      </c>
      <c r="B11" s="12" t="s">
        <v>394</v>
      </c>
      <c r="C11" s="11" t="s">
        <v>395</v>
      </c>
      <c r="D11" s="11" t="s">
        <v>84</v>
      </c>
      <c r="E11" s="11" t="s">
        <v>66</v>
      </c>
      <c r="F11" s="11" t="s">
        <v>67</v>
      </c>
      <c r="G11" s="11" t="s">
        <v>371</v>
      </c>
      <c r="H11" s="11" t="s">
        <v>396</v>
      </c>
      <c r="I11" s="11" t="s">
        <v>397</v>
      </c>
      <c r="J11" s="13"/>
      <c r="K11" s="13" t="s">
        <v>35</v>
      </c>
      <c r="L11" s="13"/>
      <c r="M11" s="13"/>
      <c r="N11" s="13"/>
    </row>
    <row r="12" spans="1:14" ht="66" x14ac:dyDescent="0.3">
      <c r="A12" s="11">
        <v>8</v>
      </c>
      <c r="B12" s="12" t="s">
        <v>398</v>
      </c>
      <c r="C12" s="11" t="s">
        <v>399</v>
      </c>
      <c r="D12" s="11" t="s">
        <v>84</v>
      </c>
      <c r="E12" s="11" t="s">
        <v>66</v>
      </c>
      <c r="F12" s="11" t="s">
        <v>67</v>
      </c>
      <c r="G12" s="11" t="s">
        <v>400</v>
      </c>
      <c r="H12" s="11" t="s">
        <v>401</v>
      </c>
      <c r="I12" s="11" t="s">
        <v>402</v>
      </c>
      <c r="J12" s="13"/>
      <c r="K12" s="13" t="s">
        <v>35</v>
      </c>
      <c r="L12" s="13"/>
      <c r="M12" s="13"/>
      <c r="N12" s="13"/>
    </row>
    <row r="13" spans="1:14" ht="39.6" x14ac:dyDescent="0.3">
      <c r="A13" s="11">
        <v>9</v>
      </c>
      <c r="B13" s="12" t="s">
        <v>403</v>
      </c>
      <c r="C13" s="11" t="s">
        <v>404</v>
      </c>
      <c r="D13" s="11" t="s">
        <v>84</v>
      </c>
      <c r="E13" s="11" t="s">
        <v>115</v>
      </c>
      <c r="F13" s="11" t="s">
        <v>67</v>
      </c>
      <c r="G13" s="11" t="s">
        <v>405</v>
      </c>
      <c r="H13" s="11" t="s">
        <v>406</v>
      </c>
      <c r="I13" s="11" t="s">
        <v>407</v>
      </c>
      <c r="J13" s="13"/>
      <c r="K13" s="13" t="s">
        <v>35</v>
      </c>
      <c r="L13" s="13"/>
      <c r="M13" s="13"/>
      <c r="N13" s="13"/>
    </row>
    <row r="14" spans="1:14" ht="39.6" x14ac:dyDescent="0.3">
      <c r="A14" s="11">
        <v>10</v>
      </c>
      <c r="B14" s="12" t="s">
        <v>408</v>
      </c>
      <c r="C14" s="11" t="s">
        <v>409</v>
      </c>
      <c r="D14" s="11" t="s">
        <v>84</v>
      </c>
      <c r="E14" s="11" t="s">
        <v>115</v>
      </c>
      <c r="F14" s="11" t="s">
        <v>67</v>
      </c>
      <c r="G14" s="11" t="s">
        <v>371</v>
      </c>
      <c r="H14" s="11" t="s">
        <v>410</v>
      </c>
      <c r="I14" s="11" t="s">
        <v>411</v>
      </c>
      <c r="J14" s="13"/>
      <c r="K14" s="13" t="s">
        <v>35</v>
      </c>
      <c r="L14" s="13"/>
      <c r="M14" s="13"/>
      <c r="N14" s="13"/>
    </row>
    <row r="15" spans="1:14" ht="39.6" x14ac:dyDescent="0.3">
      <c r="A15" s="11">
        <v>11</v>
      </c>
      <c r="B15" s="12" t="s">
        <v>412</v>
      </c>
      <c r="C15" s="11" t="s">
        <v>413</v>
      </c>
      <c r="D15" s="11" t="s">
        <v>84</v>
      </c>
      <c r="E15" s="11" t="s">
        <v>66</v>
      </c>
      <c r="F15" s="11" t="s">
        <v>67</v>
      </c>
      <c r="G15" s="11" t="s">
        <v>371</v>
      </c>
      <c r="H15" s="11" t="s">
        <v>414</v>
      </c>
      <c r="I15" s="11" t="s">
        <v>415</v>
      </c>
      <c r="J15" s="13"/>
      <c r="K15" s="13" t="s">
        <v>35</v>
      </c>
      <c r="L15" s="13"/>
      <c r="M15" s="13"/>
      <c r="N15" s="13"/>
    </row>
    <row r="16" spans="1:14" ht="39.6" x14ac:dyDescent="0.3">
      <c r="A16" s="11">
        <v>12</v>
      </c>
      <c r="B16" s="12" t="s">
        <v>416</v>
      </c>
      <c r="C16" s="11" t="s">
        <v>417</v>
      </c>
      <c r="D16" s="11" t="s">
        <v>84</v>
      </c>
      <c r="E16" s="11" t="s">
        <v>115</v>
      </c>
      <c r="F16" s="11" t="s">
        <v>67</v>
      </c>
      <c r="G16" s="11" t="s">
        <v>371</v>
      </c>
      <c r="H16" s="11" t="s">
        <v>418</v>
      </c>
      <c r="I16" s="11" t="s">
        <v>419</v>
      </c>
      <c r="J16" s="13"/>
      <c r="K16" s="13" t="s">
        <v>35</v>
      </c>
      <c r="L16" s="13"/>
      <c r="M16" s="13"/>
      <c r="N16" s="13"/>
    </row>
    <row r="17" spans="1:14" ht="39.6" x14ac:dyDescent="0.3">
      <c r="A17" s="11">
        <v>13</v>
      </c>
      <c r="B17" s="12" t="s">
        <v>420</v>
      </c>
      <c r="C17" s="11" t="s">
        <v>421</v>
      </c>
      <c r="D17" s="11" t="s">
        <v>84</v>
      </c>
      <c r="E17" s="11" t="s">
        <v>66</v>
      </c>
      <c r="F17" s="11" t="s">
        <v>67</v>
      </c>
      <c r="G17" s="11" t="s">
        <v>422</v>
      </c>
      <c r="H17" s="11" t="s">
        <v>423</v>
      </c>
      <c r="I17" s="11" t="s">
        <v>424</v>
      </c>
      <c r="J17" s="13"/>
      <c r="K17" s="13" t="s">
        <v>35</v>
      </c>
      <c r="L17" s="13"/>
      <c r="M17" s="13"/>
      <c r="N17" s="13"/>
    </row>
    <row r="18" spans="1:14" ht="39.6" x14ac:dyDescent="0.3">
      <c r="A18" s="11">
        <v>14</v>
      </c>
      <c r="B18" s="12" t="s">
        <v>425</v>
      </c>
      <c r="C18" s="11" t="s">
        <v>426</v>
      </c>
      <c r="D18" s="11" t="s">
        <v>84</v>
      </c>
      <c r="E18" s="11" t="s">
        <v>66</v>
      </c>
      <c r="F18" s="11" t="s">
        <v>67</v>
      </c>
      <c r="G18" s="11" t="s">
        <v>371</v>
      </c>
      <c r="H18" s="11" t="s">
        <v>427</v>
      </c>
      <c r="I18" s="11" t="s">
        <v>428</v>
      </c>
      <c r="J18" s="13"/>
      <c r="K18" s="13" t="s">
        <v>35</v>
      </c>
      <c r="L18" s="13"/>
      <c r="M18" s="13"/>
      <c r="N18" s="13"/>
    </row>
    <row r="19" spans="1:14" ht="39.6" x14ac:dyDescent="0.3">
      <c r="A19" s="11">
        <v>15</v>
      </c>
      <c r="B19" s="12" t="s">
        <v>429</v>
      </c>
      <c r="C19" s="11" t="s">
        <v>430</v>
      </c>
      <c r="D19" s="11" t="s">
        <v>84</v>
      </c>
      <c r="E19" s="11" t="s">
        <v>115</v>
      </c>
      <c r="F19" s="11" t="s">
        <v>67</v>
      </c>
      <c r="G19" s="11" t="s">
        <v>371</v>
      </c>
      <c r="H19" s="11" t="s">
        <v>431</v>
      </c>
      <c r="I19" s="11" t="s">
        <v>432</v>
      </c>
      <c r="J19" s="13"/>
      <c r="K19" s="13" t="s">
        <v>35</v>
      </c>
      <c r="L19" s="13"/>
      <c r="M19" s="13"/>
      <c r="N19" s="13"/>
    </row>
    <row r="20" spans="1:14" ht="52.8" x14ac:dyDescent="0.3">
      <c r="A20" s="11">
        <v>16</v>
      </c>
      <c r="B20" s="12" t="s">
        <v>433</v>
      </c>
      <c r="C20" s="11" t="s">
        <v>434</v>
      </c>
      <c r="D20" s="11" t="s">
        <v>100</v>
      </c>
      <c r="E20" s="11" t="s">
        <v>66</v>
      </c>
      <c r="F20" s="11" t="s">
        <v>67</v>
      </c>
      <c r="G20" s="11" t="s">
        <v>435</v>
      </c>
      <c r="H20" s="11" t="s">
        <v>436</v>
      </c>
      <c r="I20" s="11" t="s">
        <v>437</v>
      </c>
      <c r="J20" s="13"/>
      <c r="K20" s="13" t="s">
        <v>35</v>
      </c>
      <c r="L20" s="13"/>
      <c r="M20" s="13"/>
      <c r="N20" s="13"/>
    </row>
    <row r="21" spans="1:14" ht="26.4" x14ac:dyDescent="0.3">
      <c r="A21" s="11">
        <v>17</v>
      </c>
      <c r="B21" s="12" t="s">
        <v>438</v>
      </c>
      <c r="C21" s="11" t="s">
        <v>439</v>
      </c>
      <c r="D21" s="11" t="s">
        <v>100</v>
      </c>
      <c r="E21" s="11" t="s">
        <v>66</v>
      </c>
      <c r="F21" s="11" t="s">
        <v>67</v>
      </c>
      <c r="G21" s="11" t="s">
        <v>440</v>
      </c>
      <c r="H21" s="11" t="s">
        <v>441</v>
      </c>
      <c r="I21" s="11" t="s">
        <v>442</v>
      </c>
      <c r="J21" s="13"/>
      <c r="K21" s="13" t="s">
        <v>35</v>
      </c>
      <c r="L21" s="13"/>
      <c r="M21" s="13"/>
      <c r="N21" s="13"/>
    </row>
    <row r="22" spans="1:14" ht="52.8" x14ac:dyDescent="0.3">
      <c r="A22" s="11">
        <v>18</v>
      </c>
      <c r="B22" s="12" t="s">
        <v>443</v>
      </c>
      <c r="C22" s="11" t="s">
        <v>444</v>
      </c>
      <c r="D22" s="11" t="s">
        <v>339</v>
      </c>
      <c r="E22" s="11" t="s">
        <v>66</v>
      </c>
      <c r="F22" s="11" t="s">
        <v>67</v>
      </c>
      <c r="G22" s="11" t="s">
        <v>445</v>
      </c>
      <c r="H22" s="11" t="s">
        <v>446</v>
      </c>
      <c r="I22" s="11" t="s">
        <v>447</v>
      </c>
      <c r="J22" s="13"/>
      <c r="K22" s="13" t="s">
        <v>35</v>
      </c>
      <c r="L22" s="13"/>
      <c r="M22" s="13"/>
      <c r="N22" s="13"/>
    </row>
    <row r="23" spans="1:14" ht="66" x14ac:dyDescent="0.3">
      <c r="A23" s="11">
        <v>19</v>
      </c>
      <c r="B23" s="12" t="s">
        <v>448</v>
      </c>
      <c r="C23" s="11" t="s">
        <v>449</v>
      </c>
      <c r="D23" s="11" t="s">
        <v>84</v>
      </c>
      <c r="E23" s="11" t="s">
        <v>115</v>
      </c>
      <c r="F23" s="11" t="s">
        <v>67</v>
      </c>
      <c r="G23" s="11" t="s">
        <v>450</v>
      </c>
      <c r="H23" s="11" t="s">
        <v>451</v>
      </c>
      <c r="I23" s="11" t="s">
        <v>452</v>
      </c>
      <c r="J23" s="13"/>
      <c r="K23" s="13" t="s">
        <v>35</v>
      </c>
      <c r="L23" s="13"/>
      <c r="M23" s="13"/>
      <c r="N23" s="13"/>
    </row>
    <row r="24" spans="1:14" ht="26.4" x14ac:dyDescent="0.3">
      <c r="A24" s="11">
        <v>20</v>
      </c>
      <c r="B24" s="12" t="s">
        <v>453</v>
      </c>
      <c r="C24" s="11" t="s">
        <v>454</v>
      </c>
      <c r="D24" s="11" t="s">
        <v>84</v>
      </c>
      <c r="E24" s="11" t="s">
        <v>115</v>
      </c>
      <c r="F24" s="11" t="s">
        <v>67</v>
      </c>
      <c r="G24" s="11" t="s">
        <v>455</v>
      </c>
      <c r="H24" s="11" t="s">
        <v>456</v>
      </c>
      <c r="I24" s="11" t="s">
        <v>457</v>
      </c>
      <c r="J24" s="13"/>
      <c r="K24" s="13" t="s">
        <v>35</v>
      </c>
      <c r="L24" s="13"/>
      <c r="M24" s="13"/>
      <c r="N24" s="13"/>
    </row>
    <row r="25" spans="1:14" ht="52.8" x14ac:dyDescent="0.3">
      <c r="A25" s="11">
        <v>21</v>
      </c>
      <c r="B25" s="12" t="s">
        <v>458</v>
      </c>
      <c r="C25" s="11" t="s">
        <v>459</v>
      </c>
      <c r="D25" s="11" t="s">
        <v>84</v>
      </c>
      <c r="E25" s="11" t="s">
        <v>115</v>
      </c>
      <c r="F25" s="11" t="s">
        <v>67</v>
      </c>
      <c r="G25" s="11" t="s">
        <v>460</v>
      </c>
      <c r="H25" s="11" t="s">
        <v>451</v>
      </c>
      <c r="I25" s="11" t="s">
        <v>461</v>
      </c>
      <c r="J25" s="13"/>
      <c r="K25" s="13" t="s">
        <v>35</v>
      </c>
      <c r="L25" s="13"/>
      <c r="M25" s="13"/>
      <c r="N25" s="13"/>
    </row>
    <row r="26" spans="1:14" ht="39.6" x14ac:dyDescent="0.3">
      <c r="A26" s="11">
        <v>22</v>
      </c>
      <c r="B26" s="12" t="s">
        <v>462</v>
      </c>
      <c r="C26" s="11" t="s">
        <v>463</v>
      </c>
      <c r="D26" s="11" t="s">
        <v>84</v>
      </c>
      <c r="E26" s="11" t="s">
        <v>115</v>
      </c>
      <c r="F26" s="11" t="s">
        <v>67</v>
      </c>
      <c r="G26" s="11" t="s">
        <v>464</v>
      </c>
      <c r="H26" s="11" t="s">
        <v>451</v>
      </c>
      <c r="I26" s="11" t="s">
        <v>465</v>
      </c>
      <c r="J26" s="13"/>
      <c r="K26" s="13" t="s">
        <v>35</v>
      </c>
      <c r="L26" s="13"/>
      <c r="M26" s="13"/>
      <c r="N26" s="13"/>
    </row>
    <row r="27" spans="1:14" ht="39.6" x14ac:dyDescent="0.3">
      <c r="A27" s="11">
        <v>23</v>
      </c>
      <c r="B27" s="12" t="s">
        <v>466</v>
      </c>
      <c r="C27" s="11" t="s">
        <v>467</v>
      </c>
      <c r="D27" s="11" t="s">
        <v>84</v>
      </c>
      <c r="E27" s="11" t="s">
        <v>132</v>
      </c>
      <c r="F27" s="11" t="s">
        <v>67</v>
      </c>
      <c r="G27" s="11" t="s">
        <v>468</v>
      </c>
      <c r="H27" s="11" t="s">
        <v>451</v>
      </c>
      <c r="I27" s="11" t="s">
        <v>469</v>
      </c>
      <c r="J27" s="13"/>
      <c r="K27" s="13" t="s">
        <v>35</v>
      </c>
      <c r="L27" s="13"/>
      <c r="M27" s="13"/>
      <c r="N27" s="13"/>
    </row>
    <row r="28" spans="1:14" ht="39.6" x14ac:dyDescent="0.3">
      <c r="A28" s="11">
        <v>24</v>
      </c>
      <c r="B28" s="12" t="s">
        <v>470</v>
      </c>
      <c r="C28" s="11" t="s">
        <v>471</v>
      </c>
      <c r="D28" s="11" t="s">
        <v>84</v>
      </c>
      <c r="E28" s="11" t="s">
        <v>115</v>
      </c>
      <c r="F28" s="11" t="s">
        <v>67</v>
      </c>
      <c r="G28" s="11" t="s">
        <v>472</v>
      </c>
      <c r="H28" s="11" t="s">
        <v>451</v>
      </c>
      <c r="I28" s="11" t="s">
        <v>473</v>
      </c>
      <c r="J28" s="13"/>
      <c r="K28" s="13" t="s">
        <v>35</v>
      </c>
      <c r="L28" s="13"/>
      <c r="M28" s="13"/>
      <c r="N28" s="13"/>
    </row>
    <row r="29" spans="1:14" ht="39.6" x14ac:dyDescent="0.3">
      <c r="A29" s="11">
        <v>25</v>
      </c>
      <c r="B29" s="12" t="s">
        <v>474</v>
      </c>
      <c r="C29" s="11" t="s">
        <v>475</v>
      </c>
      <c r="D29" s="11" t="s">
        <v>84</v>
      </c>
      <c r="E29" s="11" t="s">
        <v>115</v>
      </c>
      <c r="F29" s="11" t="s">
        <v>67</v>
      </c>
      <c r="G29" s="11" t="s">
        <v>476</v>
      </c>
      <c r="H29" s="11" t="s">
        <v>451</v>
      </c>
      <c r="I29" s="11" t="s">
        <v>477</v>
      </c>
      <c r="J29" s="13"/>
      <c r="K29" s="13" t="s">
        <v>35</v>
      </c>
      <c r="L29" s="13"/>
      <c r="M29" s="13"/>
      <c r="N29" s="13"/>
    </row>
    <row r="30" spans="1:14" ht="39.6" x14ac:dyDescent="0.3">
      <c r="A30" s="11">
        <v>26</v>
      </c>
      <c r="B30" s="12" t="s">
        <v>478</v>
      </c>
      <c r="C30" s="11" t="s">
        <v>479</v>
      </c>
      <c r="D30" s="11" t="s">
        <v>84</v>
      </c>
      <c r="E30" s="11" t="s">
        <v>132</v>
      </c>
      <c r="F30" s="11" t="s">
        <v>67</v>
      </c>
      <c r="G30" s="11" t="s">
        <v>480</v>
      </c>
      <c r="H30" s="11" t="s">
        <v>451</v>
      </c>
      <c r="I30" s="11" t="s">
        <v>481</v>
      </c>
      <c r="J30" s="13"/>
      <c r="K30" s="13" t="s">
        <v>35</v>
      </c>
      <c r="L30" s="13"/>
      <c r="M30" s="13"/>
      <c r="N30" s="13"/>
    </row>
  </sheetData>
  <autoFilter ref="A4:N30" xr:uid="{00000000-0009-0000-0000-000004000000}"/>
  <conditionalFormatting sqref="K5:K30">
    <cfRule type="cellIs" dxfId="17" priority="1" operator="equal">
      <formula>"Pass"</formula>
    </cfRule>
    <cfRule type="cellIs" dxfId="16" priority="2" operator="equal">
      <formula>"Fail"</formula>
    </cfRule>
    <cfRule type="cellIs" dxfId="15" priority="3" operator="equal">
      <formula>"Blocked"</formula>
    </cfRule>
  </conditionalFormatting>
  <dataValidations count="1">
    <dataValidation type="list" sqref="K5:K30" xr:uid="{00000000-0002-0000-0400-000000000000}">
      <formula1>"Not Run,Pass,Fail,Blocked,N/A"</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23"/>
  <sheetViews>
    <sheetView zoomScale="90" workbookViewId="0">
      <pane xSplit="3" ySplit="4" topLeftCell="D5" activePane="bottomRight" state="frozen"/>
      <selection pane="topRight"/>
      <selection pane="bottomLeft"/>
      <selection pane="bottomRight"/>
    </sheetView>
  </sheetViews>
  <sheetFormatPr defaultRowHeight="14.4" x14ac:dyDescent="0.3"/>
  <cols>
    <col min="1" max="1" width="6" customWidth="1"/>
    <col min="2" max="2" width="10" customWidth="1"/>
    <col min="3" max="3" width="22" customWidth="1"/>
    <col min="4" max="4" width="14" customWidth="1"/>
    <col min="5" max="5" width="9" customWidth="1"/>
    <col min="6" max="6" width="8" customWidth="1"/>
    <col min="7" max="7" width="34" customWidth="1"/>
    <col min="8" max="8" width="52" customWidth="1"/>
    <col min="9" max="9" width="64" customWidth="1"/>
    <col min="10" max="10" width="36" customWidth="1"/>
    <col min="11" max="11" width="11" customWidth="1"/>
    <col min="12" max="12" width="24" customWidth="1"/>
    <col min="13" max="13" width="12" customWidth="1"/>
    <col min="14" max="14" width="13" customWidth="1"/>
  </cols>
  <sheetData>
    <row r="1" spans="1:14" ht="17.399999999999999" x14ac:dyDescent="0.3">
      <c r="A1" s="4" t="s">
        <v>482</v>
      </c>
    </row>
    <row r="2" spans="1:14" x14ac:dyDescent="0.3">
      <c r="A2" s="5" t="s">
        <v>483</v>
      </c>
    </row>
    <row r="4" spans="1:14" ht="30" customHeight="1" x14ac:dyDescent="0.3">
      <c r="A4" s="6" t="s">
        <v>49</v>
      </c>
      <c r="B4" s="6" t="s">
        <v>50</v>
      </c>
      <c r="C4" s="6" t="s">
        <v>51</v>
      </c>
      <c r="D4" s="6" t="s">
        <v>52</v>
      </c>
      <c r="E4" s="6" t="s">
        <v>53</v>
      </c>
      <c r="F4" s="6" t="s">
        <v>54</v>
      </c>
      <c r="G4" s="6" t="s">
        <v>55</v>
      </c>
      <c r="H4" s="6" t="s">
        <v>56</v>
      </c>
      <c r="I4" s="6" t="s">
        <v>57</v>
      </c>
      <c r="J4" s="6" t="s">
        <v>58</v>
      </c>
      <c r="K4" s="6" t="s">
        <v>59</v>
      </c>
      <c r="L4" s="6" t="s">
        <v>60</v>
      </c>
      <c r="M4" s="6" t="s">
        <v>61</v>
      </c>
      <c r="N4" s="6" t="s">
        <v>62</v>
      </c>
    </row>
    <row r="5" spans="1:14" ht="52.8" x14ac:dyDescent="0.3">
      <c r="A5" s="11">
        <v>1</v>
      </c>
      <c r="B5" s="12" t="s">
        <v>484</v>
      </c>
      <c r="C5" s="11" t="s">
        <v>188</v>
      </c>
      <c r="D5" s="11" t="s">
        <v>84</v>
      </c>
      <c r="E5" s="11" t="s">
        <v>66</v>
      </c>
      <c r="F5" s="11" t="s">
        <v>67</v>
      </c>
      <c r="G5" s="11" t="s">
        <v>485</v>
      </c>
      <c r="H5" s="11" t="s">
        <v>486</v>
      </c>
      <c r="I5" s="11" t="s">
        <v>487</v>
      </c>
      <c r="J5" s="13"/>
      <c r="K5" s="13" t="s">
        <v>35</v>
      </c>
      <c r="L5" s="13"/>
      <c r="M5" s="13"/>
      <c r="N5" s="13"/>
    </row>
    <row r="6" spans="1:14" ht="26.4" x14ac:dyDescent="0.3">
      <c r="A6" s="11">
        <v>2</v>
      </c>
      <c r="B6" s="12" t="s">
        <v>488</v>
      </c>
      <c r="C6" s="11" t="s">
        <v>489</v>
      </c>
      <c r="D6" s="11" t="s">
        <v>490</v>
      </c>
      <c r="E6" s="11" t="s">
        <v>115</v>
      </c>
      <c r="F6" s="11" t="s">
        <v>67</v>
      </c>
      <c r="G6" s="11" t="s">
        <v>79</v>
      </c>
      <c r="H6" s="11" t="s">
        <v>486</v>
      </c>
      <c r="I6" s="11" t="s">
        <v>491</v>
      </c>
      <c r="J6" s="13"/>
      <c r="K6" s="13" t="s">
        <v>35</v>
      </c>
      <c r="L6" s="13"/>
      <c r="M6" s="13"/>
      <c r="N6" s="13"/>
    </row>
    <row r="7" spans="1:14" ht="92.4" x14ac:dyDescent="0.3">
      <c r="A7" s="11">
        <v>3</v>
      </c>
      <c r="B7" s="12" t="s">
        <v>492</v>
      </c>
      <c r="C7" s="11" t="s">
        <v>493</v>
      </c>
      <c r="D7" s="11" t="s">
        <v>84</v>
      </c>
      <c r="E7" s="11" t="s">
        <v>115</v>
      </c>
      <c r="F7" s="11" t="s">
        <v>67</v>
      </c>
      <c r="G7" s="11" t="s">
        <v>79</v>
      </c>
      <c r="H7" s="11" t="s">
        <v>494</v>
      </c>
      <c r="I7" s="11" t="s">
        <v>495</v>
      </c>
      <c r="J7" s="13"/>
      <c r="K7" s="13" t="s">
        <v>35</v>
      </c>
      <c r="L7" s="13"/>
      <c r="M7" s="13"/>
      <c r="N7" s="13"/>
    </row>
    <row r="8" spans="1:14" ht="39.6" x14ac:dyDescent="0.3">
      <c r="A8" s="11">
        <v>4</v>
      </c>
      <c r="B8" s="12" t="s">
        <v>496</v>
      </c>
      <c r="C8" s="11" t="s">
        <v>497</v>
      </c>
      <c r="D8" s="11" t="s">
        <v>84</v>
      </c>
      <c r="E8" s="11" t="s">
        <v>115</v>
      </c>
      <c r="F8" s="11" t="s">
        <v>67</v>
      </c>
      <c r="G8" s="11" t="s">
        <v>79</v>
      </c>
      <c r="H8" s="11" t="s">
        <v>498</v>
      </c>
      <c r="I8" s="11" t="s">
        <v>499</v>
      </c>
      <c r="J8" s="13"/>
      <c r="K8" s="13" t="s">
        <v>35</v>
      </c>
      <c r="L8" s="13"/>
      <c r="M8" s="13"/>
      <c r="N8" s="13"/>
    </row>
    <row r="9" spans="1:14" ht="79.2" x14ac:dyDescent="0.3">
      <c r="A9" s="11">
        <v>5</v>
      </c>
      <c r="B9" s="12" t="s">
        <v>500</v>
      </c>
      <c r="C9" s="11" t="s">
        <v>501</v>
      </c>
      <c r="D9" s="11" t="s">
        <v>84</v>
      </c>
      <c r="E9" s="11" t="s">
        <v>66</v>
      </c>
      <c r="F9" s="11" t="s">
        <v>67</v>
      </c>
      <c r="G9" s="11" t="s">
        <v>79</v>
      </c>
      <c r="H9" s="11" t="s">
        <v>502</v>
      </c>
      <c r="I9" s="11" t="s">
        <v>503</v>
      </c>
      <c r="J9" s="13"/>
      <c r="K9" s="13" t="s">
        <v>35</v>
      </c>
      <c r="L9" s="13"/>
      <c r="M9" s="13"/>
      <c r="N9" s="13"/>
    </row>
    <row r="10" spans="1:14" ht="26.4" x14ac:dyDescent="0.3">
      <c r="A10" s="11">
        <v>6</v>
      </c>
      <c r="B10" s="12" t="s">
        <v>504</v>
      </c>
      <c r="C10" s="11" t="s">
        <v>505</v>
      </c>
      <c r="D10" s="11" t="s">
        <v>84</v>
      </c>
      <c r="E10" s="11" t="s">
        <v>115</v>
      </c>
      <c r="F10" s="11" t="s">
        <v>67</v>
      </c>
      <c r="G10" s="11" t="s">
        <v>79</v>
      </c>
      <c r="H10" s="11" t="s">
        <v>506</v>
      </c>
      <c r="I10" s="11" t="s">
        <v>507</v>
      </c>
      <c r="J10" s="13"/>
      <c r="K10" s="13" t="s">
        <v>35</v>
      </c>
      <c r="L10" s="13"/>
      <c r="M10" s="13"/>
      <c r="N10" s="13"/>
    </row>
    <row r="11" spans="1:14" ht="26.4" x14ac:dyDescent="0.3">
      <c r="A11" s="11">
        <v>7</v>
      </c>
      <c r="B11" s="12" t="s">
        <v>508</v>
      </c>
      <c r="C11" s="11" t="s">
        <v>509</v>
      </c>
      <c r="D11" s="11" t="s">
        <v>84</v>
      </c>
      <c r="E11" s="11" t="s">
        <v>115</v>
      </c>
      <c r="F11" s="11" t="s">
        <v>67</v>
      </c>
      <c r="G11" s="11" t="s">
        <v>510</v>
      </c>
      <c r="H11" s="11" t="s">
        <v>511</v>
      </c>
      <c r="I11" s="11" t="s">
        <v>512</v>
      </c>
      <c r="J11" s="13"/>
      <c r="K11" s="13" t="s">
        <v>35</v>
      </c>
      <c r="L11" s="13"/>
      <c r="M11" s="13"/>
      <c r="N11" s="13"/>
    </row>
    <row r="12" spans="1:14" ht="39.6" x14ac:dyDescent="0.3">
      <c r="A12" s="11">
        <v>8</v>
      </c>
      <c r="B12" s="12" t="s">
        <v>513</v>
      </c>
      <c r="C12" s="11" t="s">
        <v>514</v>
      </c>
      <c r="D12" s="11" t="s">
        <v>84</v>
      </c>
      <c r="E12" s="11" t="s">
        <v>66</v>
      </c>
      <c r="F12" s="11" t="s">
        <v>67</v>
      </c>
      <c r="G12" s="11" t="s">
        <v>515</v>
      </c>
      <c r="H12" s="11" t="s">
        <v>516</v>
      </c>
      <c r="I12" s="11" t="s">
        <v>517</v>
      </c>
      <c r="J12" s="13"/>
      <c r="K12" s="13" t="s">
        <v>35</v>
      </c>
      <c r="L12" s="13"/>
      <c r="M12" s="13"/>
      <c r="N12" s="13"/>
    </row>
    <row r="13" spans="1:14" ht="52.8" x14ac:dyDescent="0.3">
      <c r="A13" s="11">
        <v>9</v>
      </c>
      <c r="B13" s="12" t="s">
        <v>518</v>
      </c>
      <c r="C13" s="11" t="s">
        <v>519</v>
      </c>
      <c r="D13" s="11" t="s">
        <v>84</v>
      </c>
      <c r="E13" s="11" t="s">
        <v>66</v>
      </c>
      <c r="F13" s="11" t="s">
        <v>67</v>
      </c>
      <c r="G13" s="11" t="s">
        <v>520</v>
      </c>
      <c r="H13" s="11" t="s">
        <v>521</v>
      </c>
      <c r="I13" s="11" t="s">
        <v>522</v>
      </c>
      <c r="J13" s="13"/>
      <c r="K13" s="13" t="s">
        <v>35</v>
      </c>
      <c r="L13" s="13"/>
      <c r="M13" s="13"/>
      <c r="N13" s="13"/>
    </row>
    <row r="14" spans="1:14" ht="26.4" x14ac:dyDescent="0.3">
      <c r="A14" s="11">
        <v>10</v>
      </c>
      <c r="B14" s="12" t="s">
        <v>523</v>
      </c>
      <c r="C14" s="11" t="s">
        <v>524</v>
      </c>
      <c r="D14" s="11" t="s">
        <v>84</v>
      </c>
      <c r="E14" s="11" t="s">
        <v>115</v>
      </c>
      <c r="F14" s="11" t="s">
        <v>67</v>
      </c>
      <c r="G14" s="11" t="s">
        <v>525</v>
      </c>
      <c r="H14" s="11" t="s">
        <v>526</v>
      </c>
      <c r="I14" s="11" t="s">
        <v>527</v>
      </c>
      <c r="J14" s="13"/>
      <c r="K14" s="13" t="s">
        <v>35</v>
      </c>
      <c r="L14" s="13"/>
      <c r="M14" s="13"/>
      <c r="N14" s="13"/>
    </row>
    <row r="15" spans="1:14" x14ac:dyDescent="0.3">
      <c r="A15" s="11">
        <v>11</v>
      </c>
      <c r="B15" s="12" t="s">
        <v>528</v>
      </c>
      <c r="C15" s="11" t="s">
        <v>529</v>
      </c>
      <c r="D15" s="11" t="s">
        <v>84</v>
      </c>
      <c r="E15" s="11" t="s">
        <v>115</v>
      </c>
      <c r="F15" s="11" t="s">
        <v>67</v>
      </c>
      <c r="G15" s="11" t="s">
        <v>530</v>
      </c>
      <c r="H15" s="11" t="s">
        <v>531</v>
      </c>
      <c r="I15" s="11" t="s">
        <v>532</v>
      </c>
      <c r="J15" s="13"/>
      <c r="K15" s="13" t="s">
        <v>35</v>
      </c>
      <c r="L15" s="13"/>
      <c r="M15" s="13"/>
      <c r="N15" s="13"/>
    </row>
    <row r="16" spans="1:14" ht="79.2" x14ac:dyDescent="0.3">
      <c r="A16" s="11">
        <v>12</v>
      </c>
      <c r="B16" s="12" t="s">
        <v>533</v>
      </c>
      <c r="C16" s="11" t="s">
        <v>534</v>
      </c>
      <c r="D16" s="11" t="s">
        <v>84</v>
      </c>
      <c r="E16" s="11" t="s">
        <v>66</v>
      </c>
      <c r="F16" s="11" t="s">
        <v>67</v>
      </c>
      <c r="G16" s="11" t="s">
        <v>535</v>
      </c>
      <c r="H16" s="11" t="s">
        <v>536</v>
      </c>
      <c r="I16" s="11" t="s">
        <v>537</v>
      </c>
      <c r="J16" s="13"/>
      <c r="K16" s="13" t="s">
        <v>35</v>
      </c>
      <c r="L16" s="13"/>
      <c r="M16" s="13"/>
      <c r="N16" s="13"/>
    </row>
    <row r="17" spans="1:14" ht="26.4" x14ac:dyDescent="0.3">
      <c r="A17" s="11">
        <v>13</v>
      </c>
      <c r="B17" s="12" t="s">
        <v>538</v>
      </c>
      <c r="C17" s="11" t="s">
        <v>539</v>
      </c>
      <c r="D17" s="11" t="s">
        <v>84</v>
      </c>
      <c r="E17" s="11" t="s">
        <v>66</v>
      </c>
      <c r="F17" s="11" t="s">
        <v>67</v>
      </c>
      <c r="G17" s="11" t="s">
        <v>540</v>
      </c>
      <c r="H17" s="11" t="s">
        <v>541</v>
      </c>
      <c r="I17" s="11" t="s">
        <v>542</v>
      </c>
      <c r="J17" s="13"/>
      <c r="K17" s="13" t="s">
        <v>35</v>
      </c>
      <c r="L17" s="13"/>
      <c r="M17" s="13"/>
      <c r="N17" s="13"/>
    </row>
    <row r="18" spans="1:14" x14ac:dyDescent="0.3">
      <c r="A18" s="11">
        <v>14</v>
      </c>
      <c r="B18" s="12" t="s">
        <v>543</v>
      </c>
      <c r="C18" s="11" t="s">
        <v>544</v>
      </c>
      <c r="D18" s="11" t="s">
        <v>84</v>
      </c>
      <c r="E18" s="11" t="s">
        <v>66</v>
      </c>
      <c r="F18" s="11" t="s">
        <v>67</v>
      </c>
      <c r="G18" s="11" t="s">
        <v>545</v>
      </c>
      <c r="H18" s="11" t="s">
        <v>546</v>
      </c>
      <c r="I18" s="11" t="s">
        <v>547</v>
      </c>
      <c r="J18" s="13"/>
      <c r="K18" s="13" t="s">
        <v>35</v>
      </c>
      <c r="L18" s="13"/>
      <c r="M18" s="13"/>
      <c r="N18" s="13"/>
    </row>
    <row r="19" spans="1:14" ht="26.4" x14ac:dyDescent="0.3">
      <c r="A19" s="11">
        <v>15</v>
      </c>
      <c r="B19" s="12" t="s">
        <v>548</v>
      </c>
      <c r="C19" s="11" t="s">
        <v>549</v>
      </c>
      <c r="D19" s="11" t="s">
        <v>84</v>
      </c>
      <c r="E19" s="11" t="s">
        <v>115</v>
      </c>
      <c r="F19" s="11" t="s">
        <v>67</v>
      </c>
      <c r="G19" s="11" t="s">
        <v>550</v>
      </c>
      <c r="H19" s="11" t="s">
        <v>541</v>
      </c>
      <c r="I19" s="11" t="s">
        <v>551</v>
      </c>
      <c r="J19" s="13"/>
      <c r="K19" s="13" t="s">
        <v>35</v>
      </c>
      <c r="L19" s="13"/>
      <c r="M19" s="13"/>
      <c r="N19" s="13"/>
    </row>
    <row r="20" spans="1:14" ht="26.4" x14ac:dyDescent="0.3">
      <c r="A20" s="11">
        <v>16</v>
      </c>
      <c r="B20" s="12" t="s">
        <v>552</v>
      </c>
      <c r="C20" s="11" t="s">
        <v>553</v>
      </c>
      <c r="D20" s="11" t="s">
        <v>84</v>
      </c>
      <c r="E20" s="11" t="s">
        <v>115</v>
      </c>
      <c r="F20" s="11" t="s">
        <v>67</v>
      </c>
      <c r="G20" s="11" t="s">
        <v>554</v>
      </c>
      <c r="H20" s="11" t="s">
        <v>541</v>
      </c>
      <c r="I20" s="11" t="s">
        <v>555</v>
      </c>
      <c r="J20" s="13"/>
      <c r="K20" s="13" t="s">
        <v>35</v>
      </c>
      <c r="L20" s="13"/>
      <c r="M20" s="13"/>
      <c r="N20" s="13"/>
    </row>
    <row r="21" spans="1:14" ht="26.4" x14ac:dyDescent="0.3">
      <c r="A21" s="11">
        <v>17</v>
      </c>
      <c r="B21" s="12" t="s">
        <v>556</v>
      </c>
      <c r="C21" s="11" t="s">
        <v>557</v>
      </c>
      <c r="D21" s="11" t="s">
        <v>339</v>
      </c>
      <c r="E21" s="11" t="s">
        <v>115</v>
      </c>
      <c r="F21" s="11" t="s">
        <v>67</v>
      </c>
      <c r="G21" s="11" t="s">
        <v>558</v>
      </c>
      <c r="H21" s="11" t="s">
        <v>559</v>
      </c>
      <c r="I21" s="11" t="s">
        <v>560</v>
      </c>
      <c r="J21" s="13"/>
      <c r="K21" s="13" t="s">
        <v>35</v>
      </c>
      <c r="L21" s="13"/>
      <c r="M21" s="13"/>
      <c r="N21" s="13"/>
    </row>
    <row r="22" spans="1:14" ht="39.6" x14ac:dyDescent="0.3">
      <c r="A22" s="11">
        <v>18</v>
      </c>
      <c r="B22" s="12" t="s">
        <v>561</v>
      </c>
      <c r="C22" s="11" t="s">
        <v>562</v>
      </c>
      <c r="D22" s="11" t="s">
        <v>84</v>
      </c>
      <c r="E22" s="11" t="s">
        <v>115</v>
      </c>
      <c r="F22" s="11" t="s">
        <v>563</v>
      </c>
      <c r="G22" s="11" t="s">
        <v>564</v>
      </c>
      <c r="H22" s="11" t="s">
        <v>565</v>
      </c>
      <c r="I22" s="11" t="s">
        <v>566</v>
      </c>
      <c r="J22" s="13"/>
      <c r="K22" s="13" t="s">
        <v>35</v>
      </c>
      <c r="L22" s="13"/>
      <c r="M22" s="13"/>
      <c r="N22" s="13"/>
    </row>
    <row r="23" spans="1:14" ht="39.6" x14ac:dyDescent="0.3">
      <c r="A23" s="11">
        <v>19</v>
      </c>
      <c r="B23" s="12" t="s">
        <v>567</v>
      </c>
      <c r="C23" s="11" t="s">
        <v>363</v>
      </c>
      <c r="D23" s="11" t="s">
        <v>73</v>
      </c>
      <c r="E23" s="11" t="s">
        <v>132</v>
      </c>
      <c r="F23" s="11" t="s">
        <v>67</v>
      </c>
      <c r="G23" s="11" t="s">
        <v>364</v>
      </c>
      <c r="H23" s="11" t="s">
        <v>568</v>
      </c>
      <c r="I23" s="11" t="s">
        <v>569</v>
      </c>
      <c r="J23" s="13"/>
      <c r="K23" s="13" t="s">
        <v>35</v>
      </c>
      <c r="L23" s="13"/>
      <c r="M23" s="13"/>
      <c r="N23" s="13"/>
    </row>
  </sheetData>
  <autoFilter ref="A4:N23" xr:uid="{00000000-0009-0000-0000-000005000000}"/>
  <conditionalFormatting sqref="K5:K23">
    <cfRule type="cellIs" dxfId="14" priority="1" operator="equal">
      <formula>"Pass"</formula>
    </cfRule>
    <cfRule type="cellIs" dxfId="13" priority="2" operator="equal">
      <formula>"Fail"</formula>
    </cfRule>
    <cfRule type="cellIs" dxfId="12" priority="3" operator="equal">
      <formula>"Blocked"</formula>
    </cfRule>
  </conditionalFormatting>
  <dataValidations count="1">
    <dataValidation type="list" sqref="K5:K23" xr:uid="{00000000-0002-0000-0500-000000000000}">
      <formula1>"Not Run,Pass,Fail,Blocked,N/A"</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38"/>
  <sheetViews>
    <sheetView zoomScale="90" workbookViewId="0">
      <pane xSplit="3" ySplit="4" topLeftCell="D5" activePane="bottomRight" state="frozen"/>
      <selection pane="topRight"/>
      <selection pane="bottomLeft"/>
      <selection pane="bottomRight"/>
    </sheetView>
  </sheetViews>
  <sheetFormatPr defaultRowHeight="14.4" x14ac:dyDescent="0.3"/>
  <cols>
    <col min="1" max="1" width="6" customWidth="1"/>
    <col min="2" max="2" width="10" customWidth="1"/>
    <col min="3" max="3" width="22" customWidth="1"/>
    <col min="4" max="4" width="14" customWidth="1"/>
    <col min="5" max="5" width="9" customWidth="1"/>
    <col min="6" max="6" width="8" customWidth="1"/>
    <col min="7" max="7" width="34" customWidth="1"/>
    <col min="8" max="8" width="52" customWidth="1"/>
    <col min="9" max="9" width="64" customWidth="1"/>
    <col min="10" max="10" width="36" customWidth="1"/>
    <col min="11" max="11" width="11" customWidth="1"/>
    <col min="12" max="12" width="24" customWidth="1"/>
    <col min="13" max="13" width="12" customWidth="1"/>
    <col min="14" max="14" width="13" customWidth="1"/>
  </cols>
  <sheetData>
    <row r="1" spans="1:14" ht="17.399999999999999" x14ac:dyDescent="0.3">
      <c r="A1" s="4" t="s">
        <v>570</v>
      </c>
    </row>
    <row r="2" spans="1:14" x14ac:dyDescent="0.3">
      <c r="A2" s="5" t="s">
        <v>571</v>
      </c>
    </row>
    <row r="4" spans="1:14" ht="30" customHeight="1" x14ac:dyDescent="0.3">
      <c r="A4" s="6" t="s">
        <v>49</v>
      </c>
      <c r="B4" s="6" t="s">
        <v>50</v>
      </c>
      <c r="C4" s="6" t="s">
        <v>51</v>
      </c>
      <c r="D4" s="6" t="s">
        <v>52</v>
      </c>
      <c r="E4" s="6" t="s">
        <v>53</v>
      </c>
      <c r="F4" s="6" t="s">
        <v>54</v>
      </c>
      <c r="G4" s="6" t="s">
        <v>55</v>
      </c>
      <c r="H4" s="6" t="s">
        <v>56</v>
      </c>
      <c r="I4" s="6" t="s">
        <v>57</v>
      </c>
      <c r="J4" s="6" t="s">
        <v>58</v>
      </c>
      <c r="K4" s="6" t="s">
        <v>59</v>
      </c>
      <c r="L4" s="6" t="s">
        <v>60</v>
      </c>
      <c r="M4" s="6" t="s">
        <v>61</v>
      </c>
      <c r="N4" s="6" t="s">
        <v>62</v>
      </c>
    </row>
    <row r="5" spans="1:14" ht="52.8" x14ac:dyDescent="0.3">
      <c r="A5" s="11">
        <v>1</v>
      </c>
      <c r="B5" s="12" t="s">
        <v>572</v>
      </c>
      <c r="C5" s="11" t="s">
        <v>188</v>
      </c>
      <c r="D5" s="11" t="s">
        <v>95</v>
      </c>
      <c r="E5" s="11" t="s">
        <v>66</v>
      </c>
      <c r="F5" s="11" t="s">
        <v>67</v>
      </c>
      <c r="G5" s="11" t="s">
        <v>573</v>
      </c>
      <c r="H5" s="11" t="s">
        <v>574</v>
      </c>
      <c r="I5" s="11" t="s">
        <v>575</v>
      </c>
      <c r="J5" s="13"/>
      <c r="K5" s="13" t="s">
        <v>35</v>
      </c>
      <c r="L5" s="13"/>
      <c r="M5" s="13"/>
      <c r="N5" s="13"/>
    </row>
    <row r="6" spans="1:14" ht="39.6" x14ac:dyDescent="0.3">
      <c r="A6" s="11">
        <v>2</v>
      </c>
      <c r="B6" s="12" t="s">
        <v>576</v>
      </c>
      <c r="C6" s="11" t="s">
        <v>577</v>
      </c>
      <c r="D6" s="11" t="s">
        <v>95</v>
      </c>
      <c r="E6" s="11" t="s">
        <v>66</v>
      </c>
      <c r="F6" s="11" t="s">
        <v>67</v>
      </c>
      <c r="G6" s="11" t="s">
        <v>578</v>
      </c>
      <c r="H6" s="11" t="s">
        <v>579</v>
      </c>
      <c r="I6" s="11" t="s">
        <v>580</v>
      </c>
      <c r="J6" s="13"/>
      <c r="K6" s="13" t="s">
        <v>35</v>
      </c>
      <c r="L6" s="13"/>
      <c r="M6" s="13"/>
      <c r="N6" s="13"/>
    </row>
    <row r="7" spans="1:14" ht="52.8" x14ac:dyDescent="0.3">
      <c r="A7" s="11">
        <v>3</v>
      </c>
      <c r="B7" s="12" t="s">
        <v>581</v>
      </c>
      <c r="C7" s="11" t="s">
        <v>582</v>
      </c>
      <c r="D7" s="11" t="s">
        <v>583</v>
      </c>
      <c r="E7" s="11" t="s">
        <v>66</v>
      </c>
      <c r="F7" s="11" t="s">
        <v>67</v>
      </c>
      <c r="G7" s="11" t="s">
        <v>584</v>
      </c>
      <c r="H7" s="11" t="s">
        <v>585</v>
      </c>
      <c r="I7" s="11" t="s">
        <v>586</v>
      </c>
      <c r="J7" s="13"/>
      <c r="K7" s="13" t="s">
        <v>35</v>
      </c>
      <c r="L7" s="13"/>
      <c r="M7" s="13"/>
      <c r="N7" s="13"/>
    </row>
    <row r="8" spans="1:14" ht="66" x14ac:dyDescent="0.3">
      <c r="A8" s="11">
        <v>4</v>
      </c>
      <c r="B8" s="12" t="s">
        <v>587</v>
      </c>
      <c r="C8" s="11" t="s">
        <v>588</v>
      </c>
      <c r="D8" s="11" t="s">
        <v>95</v>
      </c>
      <c r="E8" s="11" t="s">
        <v>66</v>
      </c>
      <c r="F8" s="11" t="s">
        <v>67</v>
      </c>
      <c r="G8" s="11" t="s">
        <v>589</v>
      </c>
      <c r="H8" s="11" t="s">
        <v>590</v>
      </c>
      <c r="I8" s="11" t="s">
        <v>591</v>
      </c>
      <c r="J8" s="13"/>
      <c r="K8" s="13" t="s">
        <v>35</v>
      </c>
      <c r="L8" s="13"/>
      <c r="M8" s="13"/>
      <c r="N8" s="13"/>
    </row>
    <row r="9" spans="1:14" ht="26.4" x14ac:dyDescent="0.3">
      <c r="A9" s="11">
        <v>5</v>
      </c>
      <c r="B9" s="12" t="s">
        <v>592</v>
      </c>
      <c r="C9" s="11" t="s">
        <v>593</v>
      </c>
      <c r="D9" s="11" t="s">
        <v>95</v>
      </c>
      <c r="E9" s="11" t="s">
        <v>66</v>
      </c>
      <c r="F9" s="11" t="s">
        <v>67</v>
      </c>
      <c r="G9" s="11" t="s">
        <v>594</v>
      </c>
      <c r="H9" s="11" t="s">
        <v>595</v>
      </c>
      <c r="I9" s="11" t="s">
        <v>596</v>
      </c>
      <c r="J9" s="13"/>
      <c r="K9" s="13" t="s">
        <v>35</v>
      </c>
      <c r="L9" s="13"/>
      <c r="M9" s="13"/>
      <c r="N9" s="13"/>
    </row>
    <row r="10" spans="1:14" ht="39.6" x14ac:dyDescent="0.3">
      <c r="A10" s="11">
        <v>6</v>
      </c>
      <c r="B10" s="12" t="s">
        <v>597</v>
      </c>
      <c r="C10" s="11" t="s">
        <v>598</v>
      </c>
      <c r="D10" s="11" t="s">
        <v>95</v>
      </c>
      <c r="E10" s="11" t="s">
        <v>115</v>
      </c>
      <c r="F10" s="11" t="s">
        <v>67</v>
      </c>
      <c r="G10" s="11" t="s">
        <v>599</v>
      </c>
      <c r="H10" s="11" t="s">
        <v>600</v>
      </c>
      <c r="I10" s="11" t="s">
        <v>601</v>
      </c>
      <c r="J10" s="13"/>
      <c r="K10" s="13" t="s">
        <v>35</v>
      </c>
      <c r="L10" s="13"/>
      <c r="M10" s="13"/>
      <c r="N10" s="13"/>
    </row>
    <row r="11" spans="1:14" ht="26.4" x14ac:dyDescent="0.3">
      <c r="A11" s="11">
        <v>7</v>
      </c>
      <c r="B11" s="12" t="s">
        <v>602</v>
      </c>
      <c r="C11" s="11" t="s">
        <v>603</v>
      </c>
      <c r="D11" s="11" t="s">
        <v>95</v>
      </c>
      <c r="E11" s="11" t="s">
        <v>66</v>
      </c>
      <c r="F11" s="11" t="s">
        <v>67</v>
      </c>
      <c r="G11" s="11" t="s">
        <v>604</v>
      </c>
      <c r="H11" s="11" t="s">
        <v>605</v>
      </c>
      <c r="I11" s="11" t="s">
        <v>606</v>
      </c>
      <c r="J11" s="13"/>
      <c r="K11" s="13" t="s">
        <v>35</v>
      </c>
      <c r="L11" s="13"/>
      <c r="M11" s="13"/>
      <c r="N11" s="13"/>
    </row>
    <row r="12" spans="1:14" ht="39.6" x14ac:dyDescent="0.3">
      <c r="A12" s="11">
        <v>8</v>
      </c>
      <c r="B12" s="12" t="s">
        <v>607</v>
      </c>
      <c r="C12" s="11" t="s">
        <v>608</v>
      </c>
      <c r="D12" s="11" t="s">
        <v>95</v>
      </c>
      <c r="E12" s="11" t="s">
        <v>132</v>
      </c>
      <c r="F12" s="11" t="s">
        <v>67</v>
      </c>
      <c r="G12" s="11" t="s">
        <v>609</v>
      </c>
      <c r="H12" s="11" t="s">
        <v>590</v>
      </c>
      <c r="I12" s="11" t="s">
        <v>610</v>
      </c>
      <c r="J12" s="13"/>
      <c r="K12" s="13" t="s">
        <v>35</v>
      </c>
      <c r="L12" s="13"/>
      <c r="M12" s="13"/>
      <c r="N12" s="13"/>
    </row>
    <row r="13" spans="1:14" ht="26.4" x14ac:dyDescent="0.3">
      <c r="A13" s="11">
        <v>9</v>
      </c>
      <c r="B13" s="12" t="s">
        <v>611</v>
      </c>
      <c r="C13" s="11" t="s">
        <v>612</v>
      </c>
      <c r="D13" s="11" t="s">
        <v>95</v>
      </c>
      <c r="E13" s="11" t="s">
        <v>115</v>
      </c>
      <c r="F13" s="11" t="s">
        <v>67</v>
      </c>
      <c r="G13" s="11" t="s">
        <v>613</v>
      </c>
      <c r="H13" s="11" t="s">
        <v>614</v>
      </c>
      <c r="I13" s="11" t="s">
        <v>615</v>
      </c>
      <c r="J13" s="13"/>
      <c r="K13" s="13" t="s">
        <v>35</v>
      </c>
      <c r="L13" s="13"/>
      <c r="M13" s="13"/>
      <c r="N13" s="13"/>
    </row>
    <row r="14" spans="1:14" x14ac:dyDescent="0.3">
      <c r="A14" s="11">
        <v>10</v>
      </c>
      <c r="B14" s="12" t="s">
        <v>616</v>
      </c>
      <c r="C14" s="11" t="s">
        <v>617</v>
      </c>
      <c r="D14" s="11" t="s">
        <v>95</v>
      </c>
      <c r="E14" s="11" t="s">
        <v>132</v>
      </c>
      <c r="F14" s="11" t="s">
        <v>67</v>
      </c>
      <c r="G14" s="11" t="s">
        <v>79</v>
      </c>
      <c r="H14" s="11" t="s">
        <v>618</v>
      </c>
      <c r="I14" s="11" t="s">
        <v>619</v>
      </c>
      <c r="J14" s="13"/>
      <c r="K14" s="13" t="s">
        <v>35</v>
      </c>
      <c r="L14" s="13"/>
      <c r="M14" s="13"/>
      <c r="N14" s="13"/>
    </row>
    <row r="15" spans="1:14" ht="118.8" x14ac:dyDescent="0.3">
      <c r="A15" s="11">
        <v>11</v>
      </c>
      <c r="B15" s="12" t="s">
        <v>620</v>
      </c>
      <c r="C15" s="11" t="s">
        <v>621</v>
      </c>
      <c r="D15" s="11" t="s">
        <v>95</v>
      </c>
      <c r="E15" s="11" t="s">
        <v>66</v>
      </c>
      <c r="F15" s="11" t="s">
        <v>67</v>
      </c>
      <c r="G15" s="11" t="s">
        <v>622</v>
      </c>
      <c r="H15" s="11" t="s">
        <v>623</v>
      </c>
      <c r="I15" s="11" t="s">
        <v>624</v>
      </c>
      <c r="J15" s="13"/>
      <c r="K15" s="13" t="s">
        <v>35</v>
      </c>
      <c r="L15" s="13"/>
      <c r="M15" s="13"/>
      <c r="N15" s="13"/>
    </row>
    <row r="16" spans="1:14" ht="26.4" x14ac:dyDescent="0.3">
      <c r="A16" s="11">
        <v>12</v>
      </c>
      <c r="B16" s="12" t="s">
        <v>625</v>
      </c>
      <c r="C16" s="11" t="s">
        <v>626</v>
      </c>
      <c r="D16" s="11" t="s">
        <v>95</v>
      </c>
      <c r="E16" s="11" t="s">
        <v>115</v>
      </c>
      <c r="F16" s="11" t="s">
        <v>67</v>
      </c>
      <c r="G16" s="11" t="s">
        <v>627</v>
      </c>
      <c r="H16" s="11" t="s">
        <v>628</v>
      </c>
      <c r="I16" s="11" t="s">
        <v>629</v>
      </c>
      <c r="J16" s="13"/>
      <c r="K16" s="13" t="s">
        <v>35</v>
      </c>
      <c r="L16" s="13"/>
      <c r="M16" s="13"/>
      <c r="N16" s="13"/>
    </row>
    <row r="17" spans="1:14" ht="52.8" x14ac:dyDescent="0.3">
      <c r="A17" s="11">
        <v>13</v>
      </c>
      <c r="B17" s="12" t="s">
        <v>630</v>
      </c>
      <c r="C17" s="11" t="s">
        <v>631</v>
      </c>
      <c r="D17" s="11" t="s">
        <v>95</v>
      </c>
      <c r="E17" s="11" t="s">
        <v>66</v>
      </c>
      <c r="F17" s="11" t="s">
        <v>67</v>
      </c>
      <c r="G17" s="11" t="s">
        <v>632</v>
      </c>
      <c r="H17" s="11" t="s">
        <v>633</v>
      </c>
      <c r="I17" s="11" t="s">
        <v>634</v>
      </c>
      <c r="J17" s="13"/>
      <c r="K17" s="13" t="s">
        <v>35</v>
      </c>
      <c r="L17" s="13"/>
      <c r="M17" s="13"/>
      <c r="N17" s="13"/>
    </row>
    <row r="18" spans="1:14" ht="39.6" x14ac:dyDescent="0.3">
      <c r="A18" s="11">
        <v>14</v>
      </c>
      <c r="B18" s="12" t="s">
        <v>635</v>
      </c>
      <c r="C18" s="11" t="s">
        <v>636</v>
      </c>
      <c r="D18" s="11" t="s">
        <v>95</v>
      </c>
      <c r="E18" s="11" t="s">
        <v>66</v>
      </c>
      <c r="F18" s="11" t="s">
        <v>67</v>
      </c>
      <c r="G18" s="11" t="s">
        <v>637</v>
      </c>
      <c r="H18" s="11" t="s">
        <v>638</v>
      </c>
      <c r="I18" s="11" t="s">
        <v>639</v>
      </c>
      <c r="J18" s="13"/>
      <c r="K18" s="13" t="s">
        <v>35</v>
      </c>
      <c r="L18" s="13"/>
      <c r="M18" s="13"/>
      <c r="N18" s="13"/>
    </row>
    <row r="19" spans="1:14" ht="39.6" x14ac:dyDescent="0.3">
      <c r="A19" s="11">
        <v>15</v>
      </c>
      <c r="B19" s="12" t="s">
        <v>640</v>
      </c>
      <c r="C19" s="11" t="s">
        <v>641</v>
      </c>
      <c r="D19" s="11" t="s">
        <v>95</v>
      </c>
      <c r="E19" s="11" t="s">
        <v>66</v>
      </c>
      <c r="F19" s="11" t="s">
        <v>67</v>
      </c>
      <c r="G19" s="11" t="s">
        <v>637</v>
      </c>
      <c r="H19" s="11" t="s">
        <v>642</v>
      </c>
      <c r="I19" s="11" t="s">
        <v>643</v>
      </c>
      <c r="J19" s="13"/>
      <c r="K19" s="13" t="s">
        <v>35</v>
      </c>
      <c r="L19" s="13"/>
      <c r="M19" s="13"/>
      <c r="N19" s="13"/>
    </row>
    <row r="20" spans="1:14" ht="66" x14ac:dyDescent="0.3">
      <c r="A20" s="11">
        <v>16</v>
      </c>
      <c r="B20" s="12" t="s">
        <v>644</v>
      </c>
      <c r="C20" s="11" t="s">
        <v>645</v>
      </c>
      <c r="D20" s="11" t="s">
        <v>646</v>
      </c>
      <c r="E20" s="11" t="s">
        <v>66</v>
      </c>
      <c r="F20" s="11" t="s">
        <v>67</v>
      </c>
      <c r="G20" s="11" t="s">
        <v>647</v>
      </c>
      <c r="H20" s="11" t="s">
        <v>648</v>
      </c>
      <c r="I20" s="11" t="s">
        <v>649</v>
      </c>
      <c r="J20" s="13"/>
      <c r="K20" s="13" t="s">
        <v>35</v>
      </c>
      <c r="L20" s="13"/>
      <c r="M20" s="13"/>
      <c r="N20" s="13"/>
    </row>
    <row r="21" spans="1:14" ht="39.6" x14ac:dyDescent="0.3">
      <c r="A21" s="11">
        <v>17</v>
      </c>
      <c r="B21" s="12" t="s">
        <v>650</v>
      </c>
      <c r="C21" s="11" t="s">
        <v>651</v>
      </c>
      <c r="D21" s="11" t="s">
        <v>95</v>
      </c>
      <c r="E21" s="11" t="s">
        <v>66</v>
      </c>
      <c r="F21" s="11" t="s">
        <v>67</v>
      </c>
      <c r="G21" s="11" t="s">
        <v>627</v>
      </c>
      <c r="H21" s="11" t="s">
        <v>652</v>
      </c>
      <c r="I21" s="11" t="s">
        <v>653</v>
      </c>
      <c r="J21" s="13"/>
      <c r="K21" s="13" t="s">
        <v>35</v>
      </c>
      <c r="L21" s="13"/>
      <c r="M21" s="13"/>
      <c r="N21" s="13"/>
    </row>
    <row r="22" spans="1:14" ht="26.4" x14ac:dyDescent="0.3">
      <c r="A22" s="11">
        <v>18</v>
      </c>
      <c r="B22" s="12" t="s">
        <v>654</v>
      </c>
      <c r="C22" s="11" t="s">
        <v>655</v>
      </c>
      <c r="D22" s="11" t="s">
        <v>95</v>
      </c>
      <c r="E22" s="11" t="s">
        <v>66</v>
      </c>
      <c r="F22" s="11" t="s">
        <v>67</v>
      </c>
      <c r="G22" s="11" t="s">
        <v>656</v>
      </c>
      <c r="H22" s="11" t="s">
        <v>657</v>
      </c>
      <c r="I22" s="11" t="s">
        <v>658</v>
      </c>
      <c r="J22" s="13"/>
      <c r="K22" s="13" t="s">
        <v>35</v>
      </c>
      <c r="L22" s="13"/>
      <c r="M22" s="13"/>
      <c r="N22" s="13"/>
    </row>
    <row r="23" spans="1:14" ht="26.4" x14ac:dyDescent="0.3">
      <c r="A23" s="11">
        <v>19</v>
      </c>
      <c r="B23" s="12" t="s">
        <v>659</v>
      </c>
      <c r="C23" s="11" t="s">
        <v>660</v>
      </c>
      <c r="D23" s="11" t="s">
        <v>95</v>
      </c>
      <c r="E23" s="11" t="s">
        <v>115</v>
      </c>
      <c r="F23" s="11" t="s">
        <v>67</v>
      </c>
      <c r="G23" s="11" t="s">
        <v>627</v>
      </c>
      <c r="H23" s="11" t="s">
        <v>661</v>
      </c>
      <c r="I23" s="11" t="s">
        <v>662</v>
      </c>
      <c r="J23" s="13"/>
      <c r="K23" s="13" t="s">
        <v>35</v>
      </c>
      <c r="L23" s="13"/>
      <c r="M23" s="13"/>
      <c r="N23" s="13"/>
    </row>
    <row r="24" spans="1:14" ht="26.4" x14ac:dyDescent="0.3">
      <c r="A24" s="11">
        <v>20</v>
      </c>
      <c r="B24" s="12" t="s">
        <v>663</v>
      </c>
      <c r="C24" s="11" t="s">
        <v>664</v>
      </c>
      <c r="D24" s="11" t="s">
        <v>95</v>
      </c>
      <c r="E24" s="11" t="s">
        <v>115</v>
      </c>
      <c r="F24" s="11" t="s">
        <v>67</v>
      </c>
      <c r="G24" s="11" t="s">
        <v>627</v>
      </c>
      <c r="H24" s="11" t="s">
        <v>665</v>
      </c>
      <c r="I24" s="11" t="s">
        <v>666</v>
      </c>
      <c r="J24" s="13"/>
      <c r="K24" s="13" t="s">
        <v>35</v>
      </c>
      <c r="L24" s="13"/>
      <c r="M24" s="13"/>
      <c r="N24" s="13"/>
    </row>
    <row r="25" spans="1:14" ht="26.4" x14ac:dyDescent="0.3">
      <c r="A25" s="11">
        <v>21</v>
      </c>
      <c r="B25" s="12" t="s">
        <v>667</v>
      </c>
      <c r="C25" s="11" t="s">
        <v>668</v>
      </c>
      <c r="D25" s="11" t="s">
        <v>95</v>
      </c>
      <c r="E25" s="11" t="s">
        <v>66</v>
      </c>
      <c r="F25" s="11" t="s">
        <v>67</v>
      </c>
      <c r="G25" s="11" t="s">
        <v>669</v>
      </c>
      <c r="H25" s="11" t="s">
        <v>670</v>
      </c>
      <c r="I25" s="11" t="s">
        <v>671</v>
      </c>
      <c r="J25" s="13"/>
      <c r="K25" s="13" t="s">
        <v>35</v>
      </c>
      <c r="L25" s="13"/>
      <c r="M25" s="13"/>
      <c r="N25" s="13"/>
    </row>
    <row r="26" spans="1:14" ht="39.6" x14ac:dyDescent="0.3">
      <c r="A26" s="11">
        <v>22</v>
      </c>
      <c r="B26" s="12" t="s">
        <v>672</v>
      </c>
      <c r="C26" s="11" t="s">
        <v>673</v>
      </c>
      <c r="D26" s="11" t="s">
        <v>95</v>
      </c>
      <c r="E26" s="11" t="s">
        <v>66</v>
      </c>
      <c r="F26" s="11" t="s">
        <v>67</v>
      </c>
      <c r="G26" s="11" t="s">
        <v>669</v>
      </c>
      <c r="H26" s="11" t="s">
        <v>674</v>
      </c>
      <c r="I26" s="11" t="s">
        <v>675</v>
      </c>
      <c r="J26" s="13"/>
      <c r="K26" s="13" t="s">
        <v>35</v>
      </c>
      <c r="L26" s="13"/>
      <c r="M26" s="13"/>
      <c r="N26" s="13"/>
    </row>
    <row r="27" spans="1:14" ht="26.4" x14ac:dyDescent="0.3">
      <c r="A27" s="11">
        <v>23</v>
      </c>
      <c r="B27" s="12" t="s">
        <v>676</v>
      </c>
      <c r="C27" s="11" t="s">
        <v>677</v>
      </c>
      <c r="D27" s="11" t="s">
        <v>95</v>
      </c>
      <c r="E27" s="11" t="s">
        <v>66</v>
      </c>
      <c r="F27" s="11" t="s">
        <v>67</v>
      </c>
      <c r="G27" s="11" t="s">
        <v>678</v>
      </c>
      <c r="H27" s="11" t="s">
        <v>679</v>
      </c>
      <c r="I27" s="11" t="s">
        <v>680</v>
      </c>
      <c r="J27" s="13"/>
      <c r="K27" s="13" t="s">
        <v>35</v>
      </c>
      <c r="L27" s="13"/>
      <c r="M27" s="13"/>
      <c r="N27" s="13"/>
    </row>
    <row r="28" spans="1:14" x14ac:dyDescent="0.3">
      <c r="A28" s="11">
        <v>24</v>
      </c>
      <c r="B28" s="12" t="s">
        <v>681</v>
      </c>
      <c r="C28" s="11" t="s">
        <v>682</v>
      </c>
      <c r="D28" s="11" t="s">
        <v>95</v>
      </c>
      <c r="E28" s="11" t="s">
        <v>66</v>
      </c>
      <c r="F28" s="11" t="s">
        <v>67</v>
      </c>
      <c r="G28" s="11" t="s">
        <v>683</v>
      </c>
      <c r="H28" s="11" t="s">
        <v>684</v>
      </c>
      <c r="I28" s="11" t="s">
        <v>685</v>
      </c>
      <c r="J28" s="13"/>
      <c r="K28" s="13" t="s">
        <v>35</v>
      </c>
      <c r="L28" s="13"/>
      <c r="M28" s="13"/>
      <c r="N28" s="13"/>
    </row>
    <row r="29" spans="1:14" ht="79.2" x14ac:dyDescent="0.3">
      <c r="A29" s="11">
        <v>25</v>
      </c>
      <c r="B29" s="12" t="s">
        <v>686</v>
      </c>
      <c r="C29" s="11" t="s">
        <v>687</v>
      </c>
      <c r="D29" s="11" t="s">
        <v>95</v>
      </c>
      <c r="E29" s="11" t="s">
        <v>66</v>
      </c>
      <c r="F29" s="11" t="s">
        <v>67</v>
      </c>
      <c r="G29" s="11" t="s">
        <v>688</v>
      </c>
      <c r="H29" s="11" t="s">
        <v>689</v>
      </c>
      <c r="I29" s="11" t="s">
        <v>690</v>
      </c>
      <c r="J29" s="13"/>
      <c r="K29" s="13" t="s">
        <v>35</v>
      </c>
      <c r="L29" s="13"/>
      <c r="M29" s="13"/>
      <c r="N29" s="13"/>
    </row>
    <row r="30" spans="1:14" ht="52.8" x14ac:dyDescent="0.3">
      <c r="A30" s="11">
        <v>26</v>
      </c>
      <c r="B30" s="12" t="s">
        <v>691</v>
      </c>
      <c r="C30" s="11" t="s">
        <v>692</v>
      </c>
      <c r="D30" s="11" t="s">
        <v>84</v>
      </c>
      <c r="E30" s="11" t="s">
        <v>66</v>
      </c>
      <c r="F30" s="11" t="s">
        <v>67</v>
      </c>
      <c r="G30" s="11" t="s">
        <v>693</v>
      </c>
      <c r="H30" s="11" t="s">
        <v>694</v>
      </c>
      <c r="I30" s="11" t="s">
        <v>695</v>
      </c>
      <c r="J30" s="13"/>
      <c r="K30" s="13" t="s">
        <v>35</v>
      </c>
      <c r="L30" s="13"/>
      <c r="M30" s="13"/>
      <c r="N30" s="13"/>
    </row>
    <row r="31" spans="1:14" ht="26.4" x14ac:dyDescent="0.3">
      <c r="A31" s="11">
        <v>27</v>
      </c>
      <c r="B31" s="12" t="s">
        <v>696</v>
      </c>
      <c r="C31" s="11" t="s">
        <v>697</v>
      </c>
      <c r="D31" s="11" t="s">
        <v>95</v>
      </c>
      <c r="E31" s="11" t="s">
        <v>115</v>
      </c>
      <c r="F31" s="11" t="s">
        <v>67</v>
      </c>
      <c r="G31" s="11" t="s">
        <v>688</v>
      </c>
      <c r="H31" s="11" t="s">
        <v>698</v>
      </c>
      <c r="I31" s="11" t="s">
        <v>699</v>
      </c>
      <c r="J31" s="13"/>
      <c r="K31" s="13" t="s">
        <v>35</v>
      </c>
      <c r="L31" s="13"/>
      <c r="M31" s="13"/>
      <c r="N31" s="13"/>
    </row>
    <row r="32" spans="1:14" ht="26.4" x14ac:dyDescent="0.3">
      <c r="A32" s="11">
        <v>28</v>
      </c>
      <c r="B32" s="12" t="s">
        <v>700</v>
      </c>
      <c r="C32" s="11" t="s">
        <v>701</v>
      </c>
      <c r="D32" s="11" t="s">
        <v>95</v>
      </c>
      <c r="E32" s="11" t="s">
        <v>132</v>
      </c>
      <c r="F32" s="11" t="s">
        <v>67</v>
      </c>
      <c r="G32" s="11" t="s">
        <v>702</v>
      </c>
      <c r="H32" s="11" t="s">
        <v>703</v>
      </c>
      <c r="I32" s="11" t="s">
        <v>704</v>
      </c>
      <c r="J32" s="13"/>
      <c r="K32" s="13" t="s">
        <v>35</v>
      </c>
      <c r="L32" s="13"/>
      <c r="M32" s="13"/>
      <c r="N32" s="13"/>
    </row>
    <row r="33" spans="1:14" ht="26.4" x14ac:dyDescent="0.3">
      <c r="A33" s="11">
        <v>29</v>
      </c>
      <c r="B33" s="12" t="s">
        <v>705</v>
      </c>
      <c r="C33" s="11" t="s">
        <v>706</v>
      </c>
      <c r="D33" s="11" t="s">
        <v>95</v>
      </c>
      <c r="E33" s="11" t="s">
        <v>66</v>
      </c>
      <c r="F33" s="11" t="s">
        <v>67</v>
      </c>
      <c r="G33" s="11" t="s">
        <v>707</v>
      </c>
      <c r="H33" s="11" t="s">
        <v>708</v>
      </c>
      <c r="I33" s="11" t="s">
        <v>709</v>
      </c>
      <c r="J33" s="13"/>
      <c r="K33" s="13" t="s">
        <v>35</v>
      </c>
      <c r="L33" s="13"/>
      <c r="M33" s="13"/>
      <c r="N33" s="13"/>
    </row>
    <row r="34" spans="1:14" ht="66" x14ac:dyDescent="0.3">
      <c r="A34" s="11">
        <v>30</v>
      </c>
      <c r="B34" s="12" t="s">
        <v>710</v>
      </c>
      <c r="C34" s="11" t="s">
        <v>711</v>
      </c>
      <c r="D34" s="11" t="s">
        <v>95</v>
      </c>
      <c r="E34" s="11" t="s">
        <v>66</v>
      </c>
      <c r="F34" s="11" t="s">
        <v>67</v>
      </c>
      <c r="G34" s="11" t="s">
        <v>712</v>
      </c>
      <c r="H34" s="11" t="s">
        <v>713</v>
      </c>
      <c r="I34" s="11" t="s">
        <v>714</v>
      </c>
      <c r="J34" s="13"/>
      <c r="K34" s="13" t="s">
        <v>35</v>
      </c>
      <c r="L34" s="13"/>
      <c r="M34" s="13"/>
      <c r="N34" s="13"/>
    </row>
    <row r="35" spans="1:14" ht="26.4" x14ac:dyDescent="0.3">
      <c r="A35" s="11">
        <v>31</v>
      </c>
      <c r="B35" s="12" t="s">
        <v>715</v>
      </c>
      <c r="C35" s="11" t="s">
        <v>716</v>
      </c>
      <c r="D35" s="11" t="s">
        <v>95</v>
      </c>
      <c r="E35" s="11" t="s">
        <v>115</v>
      </c>
      <c r="F35" s="11" t="s">
        <v>67</v>
      </c>
      <c r="G35" s="11" t="s">
        <v>717</v>
      </c>
      <c r="H35" s="11" t="s">
        <v>718</v>
      </c>
      <c r="I35" s="11" t="s">
        <v>719</v>
      </c>
      <c r="J35" s="13"/>
      <c r="K35" s="13" t="s">
        <v>35</v>
      </c>
      <c r="L35" s="13"/>
      <c r="M35" s="13"/>
      <c r="N35" s="13"/>
    </row>
    <row r="36" spans="1:14" ht="26.4" x14ac:dyDescent="0.3">
      <c r="A36" s="11">
        <v>32</v>
      </c>
      <c r="B36" s="12" t="s">
        <v>720</v>
      </c>
      <c r="C36" s="11" t="s">
        <v>721</v>
      </c>
      <c r="D36" s="11" t="s">
        <v>95</v>
      </c>
      <c r="E36" s="11" t="s">
        <v>66</v>
      </c>
      <c r="F36" s="11" t="s">
        <v>67</v>
      </c>
      <c r="G36" s="11" t="s">
        <v>722</v>
      </c>
      <c r="H36" s="11" t="s">
        <v>574</v>
      </c>
      <c r="I36" s="11" t="s">
        <v>723</v>
      </c>
      <c r="J36" s="13"/>
      <c r="K36" s="13" t="s">
        <v>35</v>
      </c>
      <c r="L36" s="13"/>
      <c r="M36" s="13"/>
      <c r="N36" s="13"/>
    </row>
    <row r="37" spans="1:14" ht="26.4" x14ac:dyDescent="0.3">
      <c r="A37" s="11">
        <v>33</v>
      </c>
      <c r="B37" s="12" t="s">
        <v>724</v>
      </c>
      <c r="C37" s="11" t="s">
        <v>359</v>
      </c>
      <c r="D37" s="11" t="s">
        <v>95</v>
      </c>
      <c r="E37" s="11" t="s">
        <v>115</v>
      </c>
      <c r="F37" s="11" t="s">
        <v>67</v>
      </c>
      <c r="G37" s="11" t="s">
        <v>725</v>
      </c>
      <c r="H37" s="11" t="s">
        <v>726</v>
      </c>
      <c r="I37" s="11" t="s">
        <v>727</v>
      </c>
      <c r="J37" s="13"/>
      <c r="K37" s="13" t="s">
        <v>35</v>
      </c>
      <c r="L37" s="13"/>
      <c r="M37" s="13"/>
      <c r="N37" s="13"/>
    </row>
    <row r="38" spans="1:14" x14ac:dyDescent="0.3">
      <c r="A38" s="11">
        <v>34</v>
      </c>
      <c r="B38" s="12" t="s">
        <v>728</v>
      </c>
      <c r="C38" s="11" t="s">
        <v>363</v>
      </c>
      <c r="D38" s="11" t="s">
        <v>73</v>
      </c>
      <c r="E38" s="11" t="s">
        <v>132</v>
      </c>
      <c r="F38" s="11" t="s">
        <v>67</v>
      </c>
      <c r="G38" s="11" t="s">
        <v>364</v>
      </c>
      <c r="H38" s="11" t="s">
        <v>729</v>
      </c>
      <c r="I38" s="11" t="s">
        <v>730</v>
      </c>
      <c r="J38" s="13"/>
      <c r="K38" s="13" t="s">
        <v>35</v>
      </c>
      <c r="L38" s="13"/>
      <c r="M38" s="13"/>
      <c r="N38" s="13"/>
    </row>
  </sheetData>
  <autoFilter ref="A4:N38" xr:uid="{00000000-0009-0000-0000-000006000000}"/>
  <conditionalFormatting sqref="K5:K38">
    <cfRule type="cellIs" dxfId="11" priority="1" operator="equal">
      <formula>"Pass"</formula>
    </cfRule>
    <cfRule type="cellIs" dxfId="10" priority="2" operator="equal">
      <formula>"Fail"</formula>
    </cfRule>
    <cfRule type="cellIs" dxfId="9" priority="3" operator="equal">
      <formula>"Blocked"</formula>
    </cfRule>
  </conditionalFormatting>
  <dataValidations count="1">
    <dataValidation type="list" sqref="K5:K38" xr:uid="{00000000-0002-0000-0600-000000000000}">
      <formula1>"Not Run,Pass,Fail,Blocked,N/A"</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42"/>
  <sheetViews>
    <sheetView zoomScale="90" workbookViewId="0">
      <pane xSplit="3" ySplit="4" topLeftCell="D5" activePane="bottomRight" state="frozen"/>
      <selection pane="topRight"/>
      <selection pane="bottomLeft"/>
      <selection pane="bottomRight"/>
    </sheetView>
  </sheetViews>
  <sheetFormatPr defaultRowHeight="14.4" x14ac:dyDescent="0.3"/>
  <cols>
    <col min="1" max="1" width="6" customWidth="1"/>
    <col min="2" max="2" width="10" customWidth="1"/>
    <col min="3" max="3" width="22" customWidth="1"/>
    <col min="4" max="4" width="14" customWidth="1"/>
    <col min="5" max="5" width="9" customWidth="1"/>
    <col min="6" max="6" width="8" customWidth="1"/>
    <col min="7" max="7" width="34" customWidth="1"/>
    <col min="8" max="8" width="52" customWidth="1"/>
    <col min="9" max="9" width="64" customWidth="1"/>
    <col min="10" max="10" width="36" customWidth="1"/>
    <col min="11" max="11" width="11" customWidth="1"/>
    <col min="12" max="12" width="24" customWidth="1"/>
    <col min="13" max="13" width="12" customWidth="1"/>
    <col min="14" max="14" width="13" customWidth="1"/>
  </cols>
  <sheetData>
    <row r="1" spans="1:14" ht="17.399999999999999" x14ac:dyDescent="0.3">
      <c r="A1" s="4" t="s">
        <v>731</v>
      </c>
    </row>
    <row r="2" spans="1:14" x14ac:dyDescent="0.3">
      <c r="A2" s="5" t="s">
        <v>732</v>
      </c>
    </row>
    <row r="4" spans="1:14" ht="30" customHeight="1" x14ac:dyDescent="0.3">
      <c r="A4" s="6" t="s">
        <v>49</v>
      </c>
      <c r="B4" s="6" t="s">
        <v>50</v>
      </c>
      <c r="C4" s="6" t="s">
        <v>51</v>
      </c>
      <c r="D4" s="6" t="s">
        <v>52</v>
      </c>
      <c r="E4" s="6" t="s">
        <v>53</v>
      </c>
      <c r="F4" s="6" t="s">
        <v>54</v>
      </c>
      <c r="G4" s="6" t="s">
        <v>55</v>
      </c>
      <c r="H4" s="6" t="s">
        <v>56</v>
      </c>
      <c r="I4" s="6" t="s">
        <v>57</v>
      </c>
      <c r="J4" s="6" t="s">
        <v>58</v>
      </c>
      <c r="K4" s="6" t="s">
        <v>59</v>
      </c>
      <c r="L4" s="6" t="s">
        <v>60</v>
      </c>
      <c r="M4" s="6" t="s">
        <v>61</v>
      </c>
      <c r="N4" s="6" t="s">
        <v>62</v>
      </c>
    </row>
    <row r="5" spans="1:14" ht="26.4" x14ac:dyDescent="0.3">
      <c r="A5" s="11">
        <v>1</v>
      </c>
      <c r="B5" s="12" t="s">
        <v>733</v>
      </c>
      <c r="C5" s="11" t="s">
        <v>188</v>
      </c>
      <c r="D5" s="11" t="s">
        <v>100</v>
      </c>
      <c r="E5" s="11" t="s">
        <v>66</v>
      </c>
      <c r="F5" s="11" t="s">
        <v>67</v>
      </c>
      <c r="G5" s="11" t="s">
        <v>734</v>
      </c>
      <c r="H5" s="11" t="s">
        <v>735</v>
      </c>
      <c r="I5" s="11" t="s">
        <v>736</v>
      </c>
      <c r="J5" s="13"/>
      <c r="K5" s="13" t="s">
        <v>35</v>
      </c>
      <c r="L5" s="13"/>
      <c r="M5" s="13"/>
      <c r="N5" s="13"/>
    </row>
    <row r="6" spans="1:14" ht="105.6" x14ac:dyDescent="0.3">
      <c r="A6" s="11">
        <v>2</v>
      </c>
      <c r="B6" s="12" t="s">
        <v>737</v>
      </c>
      <c r="C6" s="11" t="s">
        <v>738</v>
      </c>
      <c r="D6" s="11" t="s">
        <v>100</v>
      </c>
      <c r="E6" s="11" t="s">
        <v>66</v>
      </c>
      <c r="F6" s="11" t="s">
        <v>67</v>
      </c>
      <c r="G6" s="11" t="s">
        <v>739</v>
      </c>
      <c r="H6" s="11" t="s">
        <v>740</v>
      </c>
      <c r="I6" s="11" t="s">
        <v>741</v>
      </c>
      <c r="J6" s="13"/>
      <c r="K6" s="13" t="s">
        <v>35</v>
      </c>
      <c r="L6" s="13"/>
      <c r="M6" s="13"/>
      <c r="N6" s="13"/>
    </row>
    <row r="7" spans="1:14" ht="66" x14ac:dyDescent="0.3">
      <c r="A7" s="11">
        <v>3</v>
      </c>
      <c r="B7" s="12" t="s">
        <v>742</v>
      </c>
      <c r="C7" s="11" t="s">
        <v>743</v>
      </c>
      <c r="D7" s="11" t="s">
        <v>100</v>
      </c>
      <c r="E7" s="11" t="s">
        <v>66</v>
      </c>
      <c r="F7" s="11" t="s">
        <v>67</v>
      </c>
      <c r="G7" s="11" t="s">
        <v>744</v>
      </c>
      <c r="H7" s="11" t="s">
        <v>745</v>
      </c>
      <c r="I7" s="11" t="s">
        <v>746</v>
      </c>
      <c r="J7" s="13"/>
      <c r="K7" s="13" t="s">
        <v>35</v>
      </c>
      <c r="L7" s="13"/>
      <c r="M7" s="13"/>
      <c r="N7" s="13"/>
    </row>
    <row r="8" spans="1:14" ht="39.6" x14ac:dyDescent="0.3">
      <c r="A8" s="11">
        <v>4</v>
      </c>
      <c r="B8" s="12" t="s">
        <v>747</v>
      </c>
      <c r="C8" s="11" t="s">
        <v>748</v>
      </c>
      <c r="D8" s="11" t="s">
        <v>100</v>
      </c>
      <c r="E8" s="11" t="s">
        <v>66</v>
      </c>
      <c r="F8" s="11" t="s">
        <v>67</v>
      </c>
      <c r="G8" s="11" t="s">
        <v>749</v>
      </c>
      <c r="H8" s="11" t="s">
        <v>750</v>
      </c>
      <c r="I8" s="11" t="s">
        <v>751</v>
      </c>
      <c r="J8" s="13"/>
      <c r="K8" s="13" t="s">
        <v>35</v>
      </c>
      <c r="L8" s="13"/>
      <c r="M8" s="13"/>
      <c r="N8" s="13"/>
    </row>
    <row r="9" spans="1:14" ht="52.8" x14ac:dyDescent="0.3">
      <c r="A9" s="11">
        <v>5</v>
      </c>
      <c r="B9" s="12" t="s">
        <v>752</v>
      </c>
      <c r="C9" s="11" t="s">
        <v>753</v>
      </c>
      <c r="D9" s="11" t="s">
        <v>100</v>
      </c>
      <c r="E9" s="11" t="s">
        <v>66</v>
      </c>
      <c r="F9" s="11" t="s">
        <v>67</v>
      </c>
      <c r="G9" s="11" t="s">
        <v>744</v>
      </c>
      <c r="H9" s="11" t="s">
        <v>754</v>
      </c>
      <c r="I9" s="11" t="s">
        <v>755</v>
      </c>
      <c r="J9" s="13"/>
      <c r="K9" s="13" t="s">
        <v>35</v>
      </c>
      <c r="L9" s="13"/>
      <c r="M9" s="13"/>
      <c r="N9" s="13"/>
    </row>
    <row r="10" spans="1:14" ht="52.8" x14ac:dyDescent="0.3">
      <c r="A10" s="11">
        <v>6</v>
      </c>
      <c r="B10" s="12" t="s">
        <v>756</v>
      </c>
      <c r="C10" s="11" t="s">
        <v>757</v>
      </c>
      <c r="D10" s="11" t="s">
        <v>100</v>
      </c>
      <c r="E10" s="11" t="s">
        <v>66</v>
      </c>
      <c r="F10" s="11" t="s">
        <v>67</v>
      </c>
      <c r="G10" s="11" t="s">
        <v>744</v>
      </c>
      <c r="H10" s="11" t="s">
        <v>758</v>
      </c>
      <c r="I10" s="11" t="s">
        <v>759</v>
      </c>
      <c r="J10" s="13"/>
      <c r="K10" s="13" t="s">
        <v>35</v>
      </c>
      <c r="L10" s="13"/>
      <c r="M10" s="13"/>
      <c r="N10" s="13"/>
    </row>
    <row r="11" spans="1:14" ht="26.4" x14ac:dyDescent="0.3">
      <c r="A11" s="11">
        <v>7</v>
      </c>
      <c r="B11" s="12" t="s">
        <v>760</v>
      </c>
      <c r="C11" s="11" t="s">
        <v>761</v>
      </c>
      <c r="D11" s="11" t="s">
        <v>100</v>
      </c>
      <c r="E11" s="11" t="s">
        <v>66</v>
      </c>
      <c r="F11" s="11" t="s">
        <v>67</v>
      </c>
      <c r="G11" s="11" t="s">
        <v>79</v>
      </c>
      <c r="H11" s="11" t="s">
        <v>762</v>
      </c>
      <c r="I11" s="11" t="s">
        <v>763</v>
      </c>
      <c r="J11" s="13"/>
      <c r="K11" s="13" t="s">
        <v>35</v>
      </c>
      <c r="L11" s="13"/>
      <c r="M11" s="13"/>
      <c r="N11" s="13"/>
    </row>
    <row r="12" spans="1:14" x14ac:dyDescent="0.3">
      <c r="A12" s="11">
        <v>8</v>
      </c>
      <c r="B12" s="12" t="s">
        <v>764</v>
      </c>
      <c r="C12" s="11" t="s">
        <v>761</v>
      </c>
      <c r="D12" s="11" t="s">
        <v>100</v>
      </c>
      <c r="E12" s="11" t="s">
        <v>115</v>
      </c>
      <c r="F12" s="11" t="s">
        <v>67</v>
      </c>
      <c r="G12" s="11" t="s">
        <v>79</v>
      </c>
      <c r="H12" s="11" t="s">
        <v>765</v>
      </c>
      <c r="I12" s="11" t="s">
        <v>766</v>
      </c>
      <c r="J12" s="13"/>
      <c r="K12" s="13" t="s">
        <v>35</v>
      </c>
      <c r="L12" s="13"/>
      <c r="M12" s="13"/>
      <c r="N12" s="13"/>
    </row>
    <row r="13" spans="1:14" ht="26.4" x14ac:dyDescent="0.3">
      <c r="A13" s="11">
        <v>9</v>
      </c>
      <c r="B13" s="12" t="s">
        <v>767</v>
      </c>
      <c r="C13" s="11" t="s">
        <v>761</v>
      </c>
      <c r="D13" s="11" t="s">
        <v>100</v>
      </c>
      <c r="E13" s="11" t="s">
        <v>132</v>
      </c>
      <c r="F13" s="11" t="s">
        <v>67</v>
      </c>
      <c r="G13" s="11" t="s">
        <v>79</v>
      </c>
      <c r="H13" s="11" t="s">
        <v>768</v>
      </c>
      <c r="I13" s="11" t="s">
        <v>769</v>
      </c>
      <c r="J13" s="13"/>
      <c r="K13" s="13" t="s">
        <v>35</v>
      </c>
      <c r="L13" s="13"/>
      <c r="M13" s="13"/>
      <c r="N13" s="13"/>
    </row>
    <row r="14" spans="1:14" ht="39.6" x14ac:dyDescent="0.3">
      <c r="A14" s="11">
        <v>10</v>
      </c>
      <c r="B14" s="12" t="s">
        <v>770</v>
      </c>
      <c r="C14" s="11" t="s">
        <v>771</v>
      </c>
      <c r="D14" s="11" t="s">
        <v>100</v>
      </c>
      <c r="E14" s="11" t="s">
        <v>115</v>
      </c>
      <c r="F14" s="11" t="s">
        <v>67</v>
      </c>
      <c r="G14" s="11" t="s">
        <v>79</v>
      </c>
      <c r="H14" s="11" t="s">
        <v>772</v>
      </c>
      <c r="I14" s="11" t="s">
        <v>773</v>
      </c>
      <c r="J14" s="13"/>
      <c r="K14" s="13" t="s">
        <v>35</v>
      </c>
      <c r="L14" s="13"/>
      <c r="M14" s="13"/>
      <c r="N14" s="13"/>
    </row>
    <row r="15" spans="1:14" ht="39.6" x14ac:dyDescent="0.3">
      <c r="A15" s="11">
        <v>11</v>
      </c>
      <c r="B15" s="12" t="s">
        <v>774</v>
      </c>
      <c r="C15" s="11" t="s">
        <v>775</v>
      </c>
      <c r="D15" s="11" t="s">
        <v>100</v>
      </c>
      <c r="E15" s="11" t="s">
        <v>115</v>
      </c>
      <c r="F15" s="11" t="s">
        <v>67</v>
      </c>
      <c r="G15" s="11" t="s">
        <v>776</v>
      </c>
      <c r="H15" s="11" t="s">
        <v>777</v>
      </c>
      <c r="I15" s="11" t="s">
        <v>778</v>
      </c>
      <c r="J15" s="13"/>
      <c r="K15" s="13" t="s">
        <v>35</v>
      </c>
      <c r="L15" s="13"/>
      <c r="M15" s="13"/>
      <c r="N15" s="13"/>
    </row>
    <row r="16" spans="1:14" ht="105.6" x14ac:dyDescent="0.3">
      <c r="A16" s="11">
        <v>12</v>
      </c>
      <c r="B16" s="12" t="s">
        <v>779</v>
      </c>
      <c r="C16" s="11" t="s">
        <v>780</v>
      </c>
      <c r="D16" s="11" t="s">
        <v>100</v>
      </c>
      <c r="E16" s="11" t="s">
        <v>66</v>
      </c>
      <c r="F16" s="11" t="s">
        <v>67</v>
      </c>
      <c r="G16" s="11" t="s">
        <v>781</v>
      </c>
      <c r="H16" s="11" t="s">
        <v>782</v>
      </c>
      <c r="I16" s="11" t="s">
        <v>783</v>
      </c>
      <c r="J16" s="13"/>
      <c r="K16" s="13" t="s">
        <v>35</v>
      </c>
      <c r="L16" s="13"/>
      <c r="M16" s="13"/>
      <c r="N16" s="13"/>
    </row>
    <row r="17" spans="1:14" ht="118.8" x14ac:dyDescent="0.3">
      <c r="A17" s="11">
        <v>13</v>
      </c>
      <c r="B17" s="12" t="s">
        <v>784</v>
      </c>
      <c r="C17" s="11" t="s">
        <v>785</v>
      </c>
      <c r="D17" s="11" t="s">
        <v>100</v>
      </c>
      <c r="E17" s="11" t="s">
        <v>66</v>
      </c>
      <c r="F17" s="11" t="s">
        <v>67</v>
      </c>
      <c r="G17" s="11" t="s">
        <v>786</v>
      </c>
      <c r="H17" s="11" t="s">
        <v>787</v>
      </c>
      <c r="I17" s="11" t="s">
        <v>788</v>
      </c>
      <c r="J17" s="13"/>
      <c r="K17" s="13" t="s">
        <v>35</v>
      </c>
      <c r="L17" s="13"/>
      <c r="M17" s="13"/>
      <c r="N17" s="13"/>
    </row>
    <row r="18" spans="1:14" ht="26.4" x14ac:dyDescent="0.3">
      <c r="A18" s="11">
        <v>14</v>
      </c>
      <c r="B18" s="12" t="s">
        <v>789</v>
      </c>
      <c r="C18" s="11" t="s">
        <v>790</v>
      </c>
      <c r="D18" s="11" t="s">
        <v>100</v>
      </c>
      <c r="E18" s="11" t="s">
        <v>115</v>
      </c>
      <c r="F18" s="11" t="s">
        <v>67</v>
      </c>
      <c r="G18" s="11" t="s">
        <v>791</v>
      </c>
      <c r="H18" s="11" t="s">
        <v>792</v>
      </c>
      <c r="I18" s="11" t="s">
        <v>793</v>
      </c>
      <c r="J18" s="13"/>
      <c r="K18" s="13" t="s">
        <v>35</v>
      </c>
      <c r="L18" s="13"/>
      <c r="M18" s="13"/>
      <c r="N18" s="13"/>
    </row>
    <row r="19" spans="1:14" ht="52.8" x14ac:dyDescent="0.3">
      <c r="A19" s="11">
        <v>15</v>
      </c>
      <c r="B19" s="12" t="s">
        <v>794</v>
      </c>
      <c r="C19" s="11" t="s">
        <v>795</v>
      </c>
      <c r="D19" s="11" t="s">
        <v>796</v>
      </c>
      <c r="E19" s="11" t="s">
        <v>66</v>
      </c>
      <c r="F19" s="11" t="s">
        <v>67</v>
      </c>
      <c r="G19" s="11" t="s">
        <v>797</v>
      </c>
      <c r="H19" s="11" t="s">
        <v>798</v>
      </c>
      <c r="I19" s="11" t="s">
        <v>799</v>
      </c>
      <c r="J19" s="13"/>
      <c r="K19" s="13" t="s">
        <v>35</v>
      </c>
      <c r="L19" s="13"/>
      <c r="M19" s="13"/>
      <c r="N19" s="13"/>
    </row>
    <row r="20" spans="1:14" ht="26.4" x14ac:dyDescent="0.3">
      <c r="A20" s="11">
        <v>16</v>
      </c>
      <c r="B20" s="12" t="s">
        <v>800</v>
      </c>
      <c r="C20" s="11" t="s">
        <v>801</v>
      </c>
      <c r="D20" s="11" t="s">
        <v>100</v>
      </c>
      <c r="E20" s="11" t="s">
        <v>115</v>
      </c>
      <c r="F20" s="11" t="s">
        <v>67</v>
      </c>
      <c r="G20" s="11" t="s">
        <v>802</v>
      </c>
      <c r="H20" s="11" t="s">
        <v>803</v>
      </c>
      <c r="I20" s="11" t="s">
        <v>804</v>
      </c>
      <c r="J20" s="13"/>
      <c r="K20" s="13" t="s">
        <v>35</v>
      </c>
      <c r="L20" s="13"/>
      <c r="M20" s="13"/>
      <c r="N20" s="13"/>
    </row>
    <row r="21" spans="1:14" ht="52.8" x14ac:dyDescent="0.3">
      <c r="A21" s="11">
        <v>17</v>
      </c>
      <c r="B21" s="12" t="s">
        <v>805</v>
      </c>
      <c r="C21" s="11" t="s">
        <v>806</v>
      </c>
      <c r="D21" s="11" t="s">
        <v>100</v>
      </c>
      <c r="E21" s="11" t="s">
        <v>66</v>
      </c>
      <c r="F21" s="11" t="s">
        <v>67</v>
      </c>
      <c r="G21" s="11" t="s">
        <v>807</v>
      </c>
      <c r="H21" s="11" t="s">
        <v>808</v>
      </c>
      <c r="I21" s="11" t="s">
        <v>809</v>
      </c>
      <c r="J21" s="13"/>
      <c r="K21" s="13" t="s">
        <v>35</v>
      </c>
      <c r="L21" s="13"/>
      <c r="M21" s="13"/>
      <c r="N21" s="13"/>
    </row>
    <row r="22" spans="1:14" ht="26.4" x14ac:dyDescent="0.3">
      <c r="A22" s="11">
        <v>18</v>
      </c>
      <c r="B22" s="12" t="s">
        <v>810</v>
      </c>
      <c r="C22" s="11" t="s">
        <v>811</v>
      </c>
      <c r="D22" s="11" t="s">
        <v>100</v>
      </c>
      <c r="E22" s="11" t="s">
        <v>115</v>
      </c>
      <c r="F22" s="11" t="s">
        <v>67</v>
      </c>
      <c r="G22" s="11" t="s">
        <v>807</v>
      </c>
      <c r="H22" s="11" t="s">
        <v>812</v>
      </c>
      <c r="I22" s="11" t="s">
        <v>813</v>
      </c>
      <c r="J22" s="13"/>
      <c r="K22" s="13" t="s">
        <v>35</v>
      </c>
      <c r="L22" s="13"/>
      <c r="M22" s="13"/>
      <c r="N22" s="13"/>
    </row>
    <row r="23" spans="1:14" ht="26.4" x14ac:dyDescent="0.3">
      <c r="A23" s="11">
        <v>19</v>
      </c>
      <c r="B23" s="12" t="s">
        <v>814</v>
      </c>
      <c r="C23" s="11" t="s">
        <v>815</v>
      </c>
      <c r="D23" s="11" t="s">
        <v>100</v>
      </c>
      <c r="E23" s="11" t="s">
        <v>115</v>
      </c>
      <c r="F23" s="11" t="s">
        <v>67</v>
      </c>
      <c r="G23" s="11" t="s">
        <v>816</v>
      </c>
      <c r="H23" s="11" t="s">
        <v>817</v>
      </c>
      <c r="I23" s="11" t="s">
        <v>818</v>
      </c>
      <c r="J23" s="13"/>
      <c r="K23" s="13" t="s">
        <v>35</v>
      </c>
      <c r="L23" s="13"/>
      <c r="M23" s="13"/>
      <c r="N23" s="13"/>
    </row>
    <row r="24" spans="1:14" ht="26.4" x14ac:dyDescent="0.3">
      <c r="A24" s="11">
        <v>20</v>
      </c>
      <c r="B24" s="12" t="s">
        <v>819</v>
      </c>
      <c r="C24" s="11" t="s">
        <v>820</v>
      </c>
      <c r="D24" s="11" t="s">
        <v>100</v>
      </c>
      <c r="E24" s="11" t="s">
        <v>66</v>
      </c>
      <c r="F24" s="11" t="s">
        <v>67</v>
      </c>
      <c r="G24" s="11" t="s">
        <v>821</v>
      </c>
      <c r="H24" s="11" t="s">
        <v>822</v>
      </c>
      <c r="I24" s="11" t="s">
        <v>823</v>
      </c>
      <c r="J24" s="13"/>
      <c r="K24" s="13" t="s">
        <v>35</v>
      </c>
      <c r="L24" s="13"/>
      <c r="M24" s="13"/>
      <c r="N24" s="13"/>
    </row>
    <row r="25" spans="1:14" ht="26.4" x14ac:dyDescent="0.3">
      <c r="A25" s="11">
        <v>21</v>
      </c>
      <c r="B25" s="12" t="s">
        <v>824</v>
      </c>
      <c r="C25" s="11" t="s">
        <v>825</v>
      </c>
      <c r="D25" s="11" t="s">
        <v>100</v>
      </c>
      <c r="E25" s="11" t="s">
        <v>115</v>
      </c>
      <c r="F25" s="11" t="s">
        <v>67</v>
      </c>
      <c r="G25" s="11" t="s">
        <v>826</v>
      </c>
      <c r="H25" s="11" t="s">
        <v>827</v>
      </c>
      <c r="I25" s="11" t="s">
        <v>828</v>
      </c>
      <c r="J25" s="13"/>
      <c r="K25" s="13" t="s">
        <v>35</v>
      </c>
      <c r="L25" s="13"/>
      <c r="M25" s="13"/>
      <c r="N25" s="13"/>
    </row>
    <row r="26" spans="1:14" ht="26.4" x14ac:dyDescent="0.3">
      <c r="A26" s="11">
        <v>22</v>
      </c>
      <c r="B26" s="12" t="s">
        <v>829</v>
      </c>
      <c r="C26" s="11" t="s">
        <v>830</v>
      </c>
      <c r="D26" s="11" t="s">
        <v>100</v>
      </c>
      <c r="E26" s="11" t="s">
        <v>115</v>
      </c>
      <c r="F26" s="11" t="s">
        <v>67</v>
      </c>
      <c r="G26" s="11" t="s">
        <v>831</v>
      </c>
      <c r="H26" s="11" t="s">
        <v>832</v>
      </c>
      <c r="I26" s="11" t="s">
        <v>833</v>
      </c>
      <c r="J26" s="13"/>
      <c r="K26" s="13" t="s">
        <v>35</v>
      </c>
      <c r="L26" s="13"/>
      <c r="M26" s="13"/>
      <c r="N26" s="13"/>
    </row>
    <row r="27" spans="1:14" ht="39.6" x14ac:dyDescent="0.3">
      <c r="A27" s="11">
        <v>23</v>
      </c>
      <c r="B27" s="12" t="s">
        <v>834</v>
      </c>
      <c r="C27" s="11" t="s">
        <v>835</v>
      </c>
      <c r="D27" s="11" t="s">
        <v>100</v>
      </c>
      <c r="E27" s="11" t="s">
        <v>66</v>
      </c>
      <c r="F27" s="11" t="s">
        <v>67</v>
      </c>
      <c r="G27" s="11" t="s">
        <v>836</v>
      </c>
      <c r="H27" s="11" t="s">
        <v>837</v>
      </c>
      <c r="I27" s="11" t="s">
        <v>838</v>
      </c>
      <c r="J27" s="13"/>
      <c r="K27" s="13" t="s">
        <v>35</v>
      </c>
      <c r="L27" s="13"/>
      <c r="M27" s="13"/>
      <c r="N27" s="13"/>
    </row>
    <row r="28" spans="1:14" ht="52.8" x14ac:dyDescent="0.3">
      <c r="A28" s="11">
        <v>24</v>
      </c>
      <c r="B28" s="12" t="s">
        <v>839</v>
      </c>
      <c r="C28" s="11" t="s">
        <v>840</v>
      </c>
      <c r="D28" s="11" t="s">
        <v>100</v>
      </c>
      <c r="E28" s="11" t="s">
        <v>115</v>
      </c>
      <c r="F28" s="11" t="s">
        <v>563</v>
      </c>
      <c r="G28" s="11" t="s">
        <v>841</v>
      </c>
      <c r="H28" s="11" t="s">
        <v>842</v>
      </c>
      <c r="I28" s="11" t="s">
        <v>843</v>
      </c>
      <c r="J28" s="13"/>
      <c r="K28" s="13" t="s">
        <v>35</v>
      </c>
      <c r="L28" s="13"/>
      <c r="M28" s="13"/>
      <c r="N28" s="13"/>
    </row>
    <row r="29" spans="1:14" ht="26.4" x14ac:dyDescent="0.3">
      <c r="A29" s="11">
        <v>25</v>
      </c>
      <c r="B29" s="12" t="s">
        <v>844</v>
      </c>
      <c r="C29" s="11" t="s">
        <v>845</v>
      </c>
      <c r="D29" s="11" t="s">
        <v>100</v>
      </c>
      <c r="E29" s="11" t="s">
        <v>115</v>
      </c>
      <c r="F29" s="11" t="s">
        <v>67</v>
      </c>
      <c r="G29" s="11" t="s">
        <v>846</v>
      </c>
      <c r="H29" s="11" t="s">
        <v>847</v>
      </c>
      <c r="I29" s="11" t="s">
        <v>848</v>
      </c>
      <c r="J29" s="13"/>
      <c r="K29" s="13" t="s">
        <v>35</v>
      </c>
      <c r="L29" s="13"/>
      <c r="M29" s="13"/>
      <c r="N29" s="13"/>
    </row>
    <row r="30" spans="1:14" x14ac:dyDescent="0.3">
      <c r="A30" s="11">
        <v>26</v>
      </c>
      <c r="B30" s="12" t="s">
        <v>849</v>
      </c>
      <c r="C30" s="11" t="s">
        <v>850</v>
      </c>
      <c r="D30" s="11" t="s">
        <v>100</v>
      </c>
      <c r="E30" s="11" t="s">
        <v>132</v>
      </c>
      <c r="F30" s="11" t="s">
        <v>67</v>
      </c>
      <c r="G30" s="11" t="s">
        <v>851</v>
      </c>
      <c r="H30" s="11" t="s">
        <v>852</v>
      </c>
      <c r="I30" s="11" t="s">
        <v>853</v>
      </c>
      <c r="J30" s="13"/>
      <c r="K30" s="13" t="s">
        <v>35</v>
      </c>
      <c r="L30" s="13"/>
      <c r="M30" s="13"/>
      <c r="N30" s="13"/>
    </row>
    <row r="31" spans="1:14" ht="66" x14ac:dyDescent="0.3">
      <c r="A31" s="11">
        <v>27</v>
      </c>
      <c r="B31" s="12" t="s">
        <v>854</v>
      </c>
      <c r="C31" s="11" t="s">
        <v>855</v>
      </c>
      <c r="D31" s="11" t="s">
        <v>100</v>
      </c>
      <c r="E31" s="11" t="s">
        <v>66</v>
      </c>
      <c r="F31" s="11" t="s">
        <v>67</v>
      </c>
      <c r="G31" s="11" t="s">
        <v>856</v>
      </c>
      <c r="H31" s="11" t="s">
        <v>857</v>
      </c>
      <c r="I31" s="11" t="s">
        <v>858</v>
      </c>
      <c r="J31" s="13"/>
      <c r="K31" s="13" t="s">
        <v>35</v>
      </c>
      <c r="L31" s="13"/>
      <c r="M31" s="13"/>
      <c r="N31" s="13"/>
    </row>
    <row r="32" spans="1:14" ht="26.4" x14ac:dyDescent="0.3">
      <c r="A32" s="11">
        <v>28</v>
      </c>
      <c r="B32" s="12" t="s">
        <v>859</v>
      </c>
      <c r="C32" s="11" t="s">
        <v>860</v>
      </c>
      <c r="D32" s="11" t="s">
        <v>100</v>
      </c>
      <c r="E32" s="11" t="s">
        <v>115</v>
      </c>
      <c r="F32" s="11" t="s">
        <v>67</v>
      </c>
      <c r="G32" s="11" t="s">
        <v>861</v>
      </c>
      <c r="H32" s="11" t="s">
        <v>862</v>
      </c>
      <c r="I32" s="11" t="s">
        <v>863</v>
      </c>
      <c r="J32" s="13"/>
      <c r="K32" s="13" t="s">
        <v>35</v>
      </c>
      <c r="L32" s="13"/>
      <c r="M32" s="13"/>
      <c r="N32" s="13"/>
    </row>
    <row r="33" spans="1:14" ht="52.8" x14ac:dyDescent="0.3">
      <c r="A33" s="11">
        <v>29</v>
      </c>
      <c r="B33" s="12" t="s">
        <v>864</v>
      </c>
      <c r="C33" s="11" t="s">
        <v>865</v>
      </c>
      <c r="D33" s="11" t="s">
        <v>100</v>
      </c>
      <c r="E33" s="11" t="s">
        <v>66</v>
      </c>
      <c r="F33" s="11" t="s">
        <v>67</v>
      </c>
      <c r="G33" s="11" t="s">
        <v>866</v>
      </c>
      <c r="H33" s="11" t="s">
        <v>867</v>
      </c>
      <c r="I33" s="11" t="s">
        <v>868</v>
      </c>
      <c r="J33" s="13"/>
      <c r="K33" s="13" t="s">
        <v>35</v>
      </c>
      <c r="L33" s="13"/>
      <c r="M33" s="13"/>
      <c r="N33" s="13"/>
    </row>
    <row r="34" spans="1:14" ht="39.6" x14ac:dyDescent="0.3">
      <c r="A34" s="11">
        <v>30</v>
      </c>
      <c r="B34" s="12" t="s">
        <v>869</v>
      </c>
      <c r="C34" s="11" t="s">
        <v>870</v>
      </c>
      <c r="D34" s="11" t="s">
        <v>100</v>
      </c>
      <c r="E34" s="11" t="s">
        <v>66</v>
      </c>
      <c r="F34" s="11" t="s">
        <v>67</v>
      </c>
      <c r="G34" s="11" t="s">
        <v>871</v>
      </c>
      <c r="H34" s="11" t="s">
        <v>872</v>
      </c>
      <c r="I34" s="11" t="s">
        <v>873</v>
      </c>
      <c r="J34" s="13"/>
      <c r="K34" s="13" t="s">
        <v>35</v>
      </c>
      <c r="L34" s="13"/>
      <c r="M34" s="13"/>
      <c r="N34" s="13"/>
    </row>
    <row r="35" spans="1:14" ht="26.4" x14ac:dyDescent="0.3">
      <c r="A35" s="11">
        <v>31</v>
      </c>
      <c r="B35" s="12" t="s">
        <v>874</v>
      </c>
      <c r="C35" s="11" t="s">
        <v>875</v>
      </c>
      <c r="D35" s="11" t="s">
        <v>100</v>
      </c>
      <c r="E35" s="11" t="s">
        <v>66</v>
      </c>
      <c r="F35" s="11" t="s">
        <v>67</v>
      </c>
      <c r="G35" s="11" t="s">
        <v>876</v>
      </c>
      <c r="H35" s="11" t="s">
        <v>877</v>
      </c>
      <c r="I35" s="11" t="s">
        <v>878</v>
      </c>
      <c r="J35" s="13"/>
      <c r="K35" s="13" t="s">
        <v>35</v>
      </c>
      <c r="L35" s="13"/>
      <c r="M35" s="13"/>
      <c r="N35" s="13"/>
    </row>
    <row r="36" spans="1:14" ht="26.4" x14ac:dyDescent="0.3">
      <c r="A36" s="11">
        <v>32</v>
      </c>
      <c r="B36" s="12" t="s">
        <v>879</v>
      </c>
      <c r="C36" s="11" t="s">
        <v>880</v>
      </c>
      <c r="D36" s="11" t="s">
        <v>100</v>
      </c>
      <c r="E36" s="11" t="s">
        <v>66</v>
      </c>
      <c r="F36" s="11" t="s">
        <v>67</v>
      </c>
      <c r="G36" s="11" t="s">
        <v>881</v>
      </c>
      <c r="H36" s="11" t="s">
        <v>882</v>
      </c>
      <c r="I36" s="11" t="s">
        <v>883</v>
      </c>
      <c r="J36" s="13"/>
      <c r="K36" s="13" t="s">
        <v>35</v>
      </c>
      <c r="L36" s="13"/>
      <c r="M36" s="13"/>
      <c r="N36" s="13"/>
    </row>
    <row r="37" spans="1:14" ht="26.4" x14ac:dyDescent="0.3">
      <c r="A37" s="11">
        <v>33</v>
      </c>
      <c r="B37" s="12" t="s">
        <v>884</v>
      </c>
      <c r="C37" s="11" t="s">
        <v>885</v>
      </c>
      <c r="D37" s="11" t="s">
        <v>100</v>
      </c>
      <c r="E37" s="11" t="s">
        <v>115</v>
      </c>
      <c r="F37" s="11" t="s">
        <v>67</v>
      </c>
      <c r="G37" s="11" t="s">
        <v>886</v>
      </c>
      <c r="H37" s="11" t="s">
        <v>887</v>
      </c>
      <c r="I37" s="11" t="s">
        <v>888</v>
      </c>
      <c r="J37" s="13"/>
      <c r="K37" s="13" t="s">
        <v>35</v>
      </c>
      <c r="L37" s="13"/>
      <c r="M37" s="13"/>
      <c r="N37" s="13"/>
    </row>
    <row r="38" spans="1:14" ht="39.6" x14ac:dyDescent="0.3">
      <c r="A38" s="11">
        <v>34</v>
      </c>
      <c r="B38" s="12" t="s">
        <v>889</v>
      </c>
      <c r="C38" s="11" t="s">
        <v>890</v>
      </c>
      <c r="D38" s="11" t="s">
        <v>100</v>
      </c>
      <c r="E38" s="11" t="s">
        <v>66</v>
      </c>
      <c r="F38" s="11" t="s">
        <v>67</v>
      </c>
      <c r="G38" s="11" t="s">
        <v>891</v>
      </c>
      <c r="H38" s="11" t="s">
        <v>892</v>
      </c>
      <c r="I38" s="11" t="s">
        <v>893</v>
      </c>
      <c r="J38" s="13"/>
      <c r="K38" s="13" t="s">
        <v>35</v>
      </c>
      <c r="L38" s="13"/>
      <c r="M38" s="13"/>
      <c r="N38" s="13"/>
    </row>
    <row r="39" spans="1:14" ht="52.8" x14ac:dyDescent="0.3">
      <c r="A39" s="11">
        <v>35</v>
      </c>
      <c r="B39" s="12" t="s">
        <v>894</v>
      </c>
      <c r="C39" s="11" t="s">
        <v>562</v>
      </c>
      <c r="D39" s="11" t="s">
        <v>100</v>
      </c>
      <c r="E39" s="11" t="s">
        <v>115</v>
      </c>
      <c r="F39" s="11" t="s">
        <v>563</v>
      </c>
      <c r="G39" s="11" t="s">
        <v>895</v>
      </c>
      <c r="H39" s="11" t="s">
        <v>896</v>
      </c>
      <c r="I39" s="11" t="s">
        <v>897</v>
      </c>
      <c r="J39" s="13"/>
      <c r="K39" s="13" t="s">
        <v>35</v>
      </c>
      <c r="L39" s="13"/>
      <c r="M39" s="13"/>
      <c r="N39" s="13"/>
    </row>
    <row r="40" spans="1:14" x14ac:dyDescent="0.3">
      <c r="A40" s="11">
        <v>36</v>
      </c>
      <c r="B40" s="12" t="s">
        <v>898</v>
      </c>
      <c r="C40" s="11" t="s">
        <v>557</v>
      </c>
      <c r="D40" s="11" t="s">
        <v>100</v>
      </c>
      <c r="E40" s="11" t="s">
        <v>115</v>
      </c>
      <c r="F40" s="11" t="s">
        <v>67</v>
      </c>
      <c r="G40" s="11" t="s">
        <v>899</v>
      </c>
      <c r="H40" s="11" t="s">
        <v>900</v>
      </c>
      <c r="I40" s="11" t="s">
        <v>901</v>
      </c>
      <c r="J40" s="13"/>
      <c r="K40" s="13" t="s">
        <v>35</v>
      </c>
      <c r="L40" s="13"/>
      <c r="M40" s="13"/>
      <c r="N40" s="13"/>
    </row>
    <row r="41" spans="1:14" ht="26.4" x14ac:dyDescent="0.3">
      <c r="A41" s="11">
        <v>37</v>
      </c>
      <c r="B41" s="12" t="s">
        <v>902</v>
      </c>
      <c r="C41" s="11" t="s">
        <v>359</v>
      </c>
      <c r="D41" s="11" t="s">
        <v>100</v>
      </c>
      <c r="E41" s="11" t="s">
        <v>115</v>
      </c>
      <c r="F41" s="11" t="s">
        <v>67</v>
      </c>
      <c r="G41" s="11" t="s">
        <v>79</v>
      </c>
      <c r="H41" s="11" t="s">
        <v>903</v>
      </c>
      <c r="I41" s="11" t="s">
        <v>904</v>
      </c>
      <c r="J41" s="13"/>
      <c r="K41" s="13" t="s">
        <v>35</v>
      </c>
      <c r="L41" s="13"/>
      <c r="M41" s="13"/>
      <c r="N41" s="13"/>
    </row>
    <row r="42" spans="1:14" x14ac:dyDescent="0.3">
      <c r="A42" s="11">
        <v>38</v>
      </c>
      <c r="B42" s="12" t="s">
        <v>905</v>
      </c>
      <c r="C42" s="11" t="s">
        <v>363</v>
      </c>
      <c r="D42" s="11" t="s">
        <v>73</v>
      </c>
      <c r="E42" s="11" t="s">
        <v>132</v>
      </c>
      <c r="F42" s="11" t="s">
        <v>67</v>
      </c>
      <c r="G42" s="11" t="s">
        <v>364</v>
      </c>
      <c r="H42" s="11" t="s">
        <v>906</v>
      </c>
      <c r="I42" s="11" t="s">
        <v>907</v>
      </c>
      <c r="J42" s="13"/>
      <c r="K42" s="13" t="s">
        <v>35</v>
      </c>
      <c r="L42" s="13"/>
      <c r="M42" s="13"/>
      <c r="N42" s="13"/>
    </row>
  </sheetData>
  <autoFilter ref="A4:N42" xr:uid="{00000000-0009-0000-0000-000007000000}"/>
  <conditionalFormatting sqref="K5:K42">
    <cfRule type="cellIs" dxfId="8" priority="1" operator="equal">
      <formula>"Pass"</formula>
    </cfRule>
    <cfRule type="cellIs" dxfId="7" priority="2" operator="equal">
      <formula>"Fail"</formula>
    </cfRule>
    <cfRule type="cellIs" dxfId="6" priority="3" operator="equal">
      <formula>"Blocked"</formula>
    </cfRule>
  </conditionalFormatting>
  <dataValidations count="1">
    <dataValidation type="list" sqref="K5:K42" xr:uid="{00000000-0002-0000-0700-000000000000}">
      <formula1>"Not Run,Pass,Fail,Blocked,N/A"</formula1>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26"/>
  <sheetViews>
    <sheetView zoomScale="90" workbookViewId="0">
      <pane xSplit="3" ySplit="4" topLeftCell="D5" activePane="bottomRight" state="frozen"/>
      <selection pane="topRight"/>
      <selection pane="bottomLeft"/>
      <selection pane="bottomRight"/>
    </sheetView>
  </sheetViews>
  <sheetFormatPr defaultRowHeight="14.4" x14ac:dyDescent="0.3"/>
  <cols>
    <col min="1" max="1" width="6" customWidth="1"/>
    <col min="2" max="2" width="10" customWidth="1"/>
    <col min="3" max="3" width="22" customWidth="1"/>
    <col min="4" max="4" width="14" customWidth="1"/>
    <col min="5" max="5" width="9" customWidth="1"/>
    <col min="6" max="6" width="8" customWidth="1"/>
    <col min="7" max="7" width="34" customWidth="1"/>
    <col min="8" max="8" width="52" customWidth="1"/>
    <col min="9" max="9" width="64" customWidth="1"/>
    <col min="10" max="10" width="36" customWidth="1"/>
    <col min="11" max="11" width="11" customWidth="1"/>
    <col min="12" max="12" width="24" customWidth="1"/>
    <col min="13" max="13" width="12" customWidth="1"/>
    <col min="14" max="14" width="13" customWidth="1"/>
  </cols>
  <sheetData>
    <row r="1" spans="1:14" ht="17.399999999999999" x14ac:dyDescent="0.3">
      <c r="A1" s="4" t="s">
        <v>908</v>
      </c>
    </row>
    <row r="2" spans="1:14" x14ac:dyDescent="0.3">
      <c r="A2" s="5" t="s">
        <v>909</v>
      </c>
    </row>
    <row r="4" spans="1:14" ht="30" customHeight="1" x14ac:dyDescent="0.3">
      <c r="A4" s="6" t="s">
        <v>49</v>
      </c>
      <c r="B4" s="6" t="s">
        <v>50</v>
      </c>
      <c r="C4" s="6" t="s">
        <v>51</v>
      </c>
      <c r="D4" s="6" t="s">
        <v>52</v>
      </c>
      <c r="E4" s="6" t="s">
        <v>53</v>
      </c>
      <c r="F4" s="6" t="s">
        <v>54</v>
      </c>
      <c r="G4" s="6" t="s">
        <v>55</v>
      </c>
      <c r="H4" s="6" t="s">
        <v>56</v>
      </c>
      <c r="I4" s="6" t="s">
        <v>57</v>
      </c>
      <c r="J4" s="6" t="s">
        <v>58</v>
      </c>
      <c r="K4" s="6" t="s">
        <v>59</v>
      </c>
      <c r="L4" s="6" t="s">
        <v>60</v>
      </c>
      <c r="M4" s="6" t="s">
        <v>61</v>
      </c>
      <c r="N4" s="6" t="s">
        <v>62</v>
      </c>
    </row>
    <row r="5" spans="1:14" ht="26.4" x14ac:dyDescent="0.3">
      <c r="A5" s="11">
        <v>1</v>
      </c>
      <c r="B5" s="12" t="s">
        <v>910</v>
      </c>
      <c r="C5" s="11" t="s">
        <v>188</v>
      </c>
      <c r="D5" s="11" t="s">
        <v>100</v>
      </c>
      <c r="E5" s="11" t="s">
        <v>66</v>
      </c>
      <c r="F5" s="11" t="s">
        <v>67</v>
      </c>
      <c r="G5" s="11" t="s">
        <v>79</v>
      </c>
      <c r="H5" s="11" t="s">
        <v>911</v>
      </c>
      <c r="I5" s="11" t="s">
        <v>912</v>
      </c>
      <c r="J5" s="13"/>
      <c r="K5" s="13" t="s">
        <v>35</v>
      </c>
      <c r="L5" s="13"/>
      <c r="M5" s="13"/>
      <c r="N5" s="13"/>
    </row>
    <row r="6" spans="1:14" ht="26.4" x14ac:dyDescent="0.3">
      <c r="A6" s="11">
        <v>2</v>
      </c>
      <c r="B6" s="12" t="s">
        <v>913</v>
      </c>
      <c r="C6" s="11" t="s">
        <v>914</v>
      </c>
      <c r="D6" s="11" t="s">
        <v>100</v>
      </c>
      <c r="E6" s="11" t="s">
        <v>115</v>
      </c>
      <c r="F6" s="11" t="s">
        <v>67</v>
      </c>
      <c r="G6" s="11" t="s">
        <v>79</v>
      </c>
      <c r="H6" s="11" t="s">
        <v>915</v>
      </c>
      <c r="I6" s="11" t="s">
        <v>916</v>
      </c>
      <c r="J6" s="13"/>
      <c r="K6" s="13" t="s">
        <v>35</v>
      </c>
      <c r="L6" s="13"/>
      <c r="M6" s="13"/>
      <c r="N6" s="13"/>
    </row>
    <row r="7" spans="1:14" ht="26.4" x14ac:dyDescent="0.3">
      <c r="A7" s="11">
        <v>3</v>
      </c>
      <c r="B7" s="12" t="s">
        <v>917</v>
      </c>
      <c r="C7" s="11" t="s">
        <v>918</v>
      </c>
      <c r="D7" s="11" t="s">
        <v>100</v>
      </c>
      <c r="E7" s="11" t="s">
        <v>115</v>
      </c>
      <c r="F7" s="11" t="s">
        <v>67</v>
      </c>
      <c r="G7" s="11" t="s">
        <v>79</v>
      </c>
      <c r="H7" s="11" t="s">
        <v>919</v>
      </c>
      <c r="I7" s="11" t="s">
        <v>920</v>
      </c>
      <c r="J7" s="13"/>
      <c r="K7" s="13" t="s">
        <v>35</v>
      </c>
      <c r="L7" s="13"/>
      <c r="M7" s="13"/>
      <c r="N7" s="13"/>
    </row>
    <row r="8" spans="1:14" ht="39.6" x14ac:dyDescent="0.3">
      <c r="A8" s="11">
        <v>4</v>
      </c>
      <c r="B8" s="12" t="s">
        <v>921</v>
      </c>
      <c r="C8" s="11" t="s">
        <v>922</v>
      </c>
      <c r="D8" s="11" t="s">
        <v>100</v>
      </c>
      <c r="E8" s="11" t="s">
        <v>66</v>
      </c>
      <c r="F8" s="11" t="s">
        <v>67</v>
      </c>
      <c r="G8" s="11" t="s">
        <v>923</v>
      </c>
      <c r="H8" s="11" t="s">
        <v>924</v>
      </c>
      <c r="I8" s="11" t="s">
        <v>925</v>
      </c>
      <c r="J8" s="13"/>
      <c r="K8" s="13" t="s">
        <v>35</v>
      </c>
      <c r="L8" s="13"/>
      <c r="M8" s="13"/>
      <c r="N8" s="13"/>
    </row>
    <row r="9" spans="1:14" ht="39.6" x14ac:dyDescent="0.3">
      <c r="A9" s="11">
        <v>5</v>
      </c>
      <c r="B9" s="12" t="s">
        <v>926</v>
      </c>
      <c r="C9" s="11" t="s">
        <v>927</v>
      </c>
      <c r="D9" s="11" t="s">
        <v>100</v>
      </c>
      <c r="E9" s="11" t="s">
        <v>66</v>
      </c>
      <c r="F9" s="11" t="s">
        <v>67</v>
      </c>
      <c r="G9" s="11" t="s">
        <v>923</v>
      </c>
      <c r="H9" s="11" t="s">
        <v>928</v>
      </c>
      <c r="I9" s="11" t="s">
        <v>929</v>
      </c>
      <c r="J9" s="13"/>
      <c r="K9" s="13" t="s">
        <v>35</v>
      </c>
      <c r="L9" s="13"/>
      <c r="M9" s="13"/>
      <c r="N9" s="13"/>
    </row>
    <row r="10" spans="1:14" ht="39.6" x14ac:dyDescent="0.3">
      <c r="A10" s="11">
        <v>6</v>
      </c>
      <c r="B10" s="12" t="s">
        <v>930</v>
      </c>
      <c r="C10" s="11" t="s">
        <v>931</v>
      </c>
      <c r="D10" s="11" t="s">
        <v>100</v>
      </c>
      <c r="E10" s="11" t="s">
        <v>115</v>
      </c>
      <c r="F10" s="11" t="s">
        <v>67</v>
      </c>
      <c r="G10" s="11" t="s">
        <v>923</v>
      </c>
      <c r="H10" s="11" t="s">
        <v>932</v>
      </c>
      <c r="I10" s="11" t="s">
        <v>933</v>
      </c>
      <c r="J10" s="13"/>
      <c r="K10" s="13" t="s">
        <v>35</v>
      </c>
      <c r="L10" s="13"/>
      <c r="M10" s="13"/>
      <c r="N10" s="13"/>
    </row>
    <row r="11" spans="1:14" x14ac:dyDescent="0.3">
      <c r="A11" s="11">
        <v>7</v>
      </c>
      <c r="B11" s="12" t="s">
        <v>934</v>
      </c>
      <c r="C11" s="11" t="s">
        <v>935</v>
      </c>
      <c r="D11" s="11" t="s">
        <v>100</v>
      </c>
      <c r="E11" s="11" t="s">
        <v>115</v>
      </c>
      <c r="F11" s="11" t="s">
        <v>67</v>
      </c>
      <c r="G11" s="11" t="s">
        <v>923</v>
      </c>
      <c r="H11" s="11" t="s">
        <v>936</v>
      </c>
      <c r="I11" s="11" t="s">
        <v>937</v>
      </c>
      <c r="J11" s="13"/>
      <c r="K11" s="13" t="s">
        <v>35</v>
      </c>
      <c r="L11" s="13"/>
      <c r="M11" s="13"/>
      <c r="N11" s="13"/>
    </row>
    <row r="12" spans="1:14" ht="39.6" x14ac:dyDescent="0.3">
      <c r="A12" s="11">
        <v>8</v>
      </c>
      <c r="B12" s="12" t="s">
        <v>938</v>
      </c>
      <c r="C12" s="11" t="s">
        <v>939</v>
      </c>
      <c r="D12" s="11" t="s">
        <v>100</v>
      </c>
      <c r="E12" s="11" t="s">
        <v>66</v>
      </c>
      <c r="F12" s="11" t="s">
        <v>67</v>
      </c>
      <c r="G12" s="11" t="s">
        <v>923</v>
      </c>
      <c r="H12" s="11" t="s">
        <v>940</v>
      </c>
      <c r="I12" s="11" t="s">
        <v>941</v>
      </c>
      <c r="J12" s="13"/>
      <c r="K12" s="13" t="s">
        <v>35</v>
      </c>
      <c r="L12" s="13"/>
      <c r="M12" s="13"/>
      <c r="N12" s="13"/>
    </row>
    <row r="13" spans="1:14" ht="39.6" x14ac:dyDescent="0.3">
      <c r="A13" s="11">
        <v>9</v>
      </c>
      <c r="B13" s="12" t="s">
        <v>942</v>
      </c>
      <c r="C13" s="11" t="s">
        <v>943</v>
      </c>
      <c r="D13" s="11" t="s">
        <v>100</v>
      </c>
      <c r="E13" s="11" t="s">
        <v>66</v>
      </c>
      <c r="F13" s="11" t="s">
        <v>67</v>
      </c>
      <c r="G13" s="11" t="s">
        <v>923</v>
      </c>
      <c r="H13" s="11" t="s">
        <v>944</v>
      </c>
      <c r="I13" s="11" t="s">
        <v>945</v>
      </c>
      <c r="J13" s="13"/>
      <c r="K13" s="13" t="s">
        <v>35</v>
      </c>
      <c r="L13" s="13"/>
      <c r="M13" s="13"/>
      <c r="N13" s="13"/>
    </row>
    <row r="14" spans="1:14" ht="26.4" x14ac:dyDescent="0.3">
      <c r="A14" s="11">
        <v>10</v>
      </c>
      <c r="B14" s="12" t="s">
        <v>946</v>
      </c>
      <c r="C14" s="11" t="s">
        <v>947</v>
      </c>
      <c r="D14" s="11" t="s">
        <v>100</v>
      </c>
      <c r="E14" s="11" t="s">
        <v>115</v>
      </c>
      <c r="F14" s="11" t="s">
        <v>67</v>
      </c>
      <c r="G14" s="11" t="s">
        <v>923</v>
      </c>
      <c r="H14" s="11" t="s">
        <v>948</v>
      </c>
      <c r="I14" s="11" t="s">
        <v>949</v>
      </c>
      <c r="J14" s="13"/>
      <c r="K14" s="13" t="s">
        <v>35</v>
      </c>
      <c r="L14" s="13"/>
      <c r="M14" s="13"/>
      <c r="N14" s="13"/>
    </row>
    <row r="15" spans="1:14" ht="26.4" x14ac:dyDescent="0.3">
      <c r="A15" s="11">
        <v>11</v>
      </c>
      <c r="B15" s="12" t="s">
        <v>950</v>
      </c>
      <c r="C15" s="11" t="s">
        <v>951</v>
      </c>
      <c r="D15" s="11" t="s">
        <v>100</v>
      </c>
      <c r="E15" s="11" t="s">
        <v>115</v>
      </c>
      <c r="F15" s="11" t="s">
        <v>67</v>
      </c>
      <c r="G15" s="11" t="s">
        <v>952</v>
      </c>
      <c r="H15" s="11" t="s">
        <v>953</v>
      </c>
      <c r="I15" s="11" t="s">
        <v>954</v>
      </c>
      <c r="J15" s="13"/>
      <c r="K15" s="13" t="s">
        <v>35</v>
      </c>
      <c r="L15" s="13"/>
      <c r="M15" s="13"/>
      <c r="N15" s="13"/>
    </row>
    <row r="16" spans="1:14" ht="26.4" x14ac:dyDescent="0.3">
      <c r="A16" s="11">
        <v>12</v>
      </c>
      <c r="B16" s="12" t="s">
        <v>955</v>
      </c>
      <c r="C16" s="11" t="s">
        <v>956</v>
      </c>
      <c r="D16" s="11" t="s">
        <v>100</v>
      </c>
      <c r="E16" s="11" t="s">
        <v>115</v>
      </c>
      <c r="F16" s="11" t="s">
        <v>67</v>
      </c>
      <c r="G16" s="11" t="s">
        <v>957</v>
      </c>
      <c r="H16" s="11" t="s">
        <v>958</v>
      </c>
      <c r="I16" s="11" t="s">
        <v>959</v>
      </c>
      <c r="J16" s="13"/>
      <c r="K16" s="13" t="s">
        <v>35</v>
      </c>
      <c r="L16" s="13"/>
      <c r="M16" s="13"/>
      <c r="N16" s="13"/>
    </row>
    <row r="17" spans="1:14" ht="26.4" x14ac:dyDescent="0.3">
      <c r="A17" s="11">
        <v>13</v>
      </c>
      <c r="B17" s="12" t="s">
        <v>960</v>
      </c>
      <c r="C17" s="11" t="s">
        <v>961</v>
      </c>
      <c r="D17" s="11" t="s">
        <v>100</v>
      </c>
      <c r="E17" s="11" t="s">
        <v>115</v>
      </c>
      <c r="F17" s="11" t="s">
        <v>67</v>
      </c>
      <c r="G17" s="11" t="s">
        <v>923</v>
      </c>
      <c r="H17" s="11" t="s">
        <v>962</v>
      </c>
      <c r="I17" s="11" t="s">
        <v>963</v>
      </c>
      <c r="J17" s="13"/>
      <c r="K17" s="13" t="s">
        <v>35</v>
      </c>
      <c r="L17" s="13"/>
      <c r="M17" s="13"/>
      <c r="N17" s="13"/>
    </row>
    <row r="18" spans="1:14" x14ac:dyDescent="0.3">
      <c r="A18" s="11">
        <v>14</v>
      </c>
      <c r="B18" s="12" t="s">
        <v>964</v>
      </c>
      <c r="C18" s="11" t="s">
        <v>965</v>
      </c>
      <c r="D18" s="11" t="s">
        <v>100</v>
      </c>
      <c r="E18" s="11" t="s">
        <v>115</v>
      </c>
      <c r="F18" s="11" t="s">
        <v>67</v>
      </c>
      <c r="G18" s="11" t="s">
        <v>923</v>
      </c>
      <c r="H18" s="11" t="s">
        <v>966</v>
      </c>
      <c r="I18" s="11" t="s">
        <v>967</v>
      </c>
      <c r="J18" s="13"/>
      <c r="K18" s="13" t="s">
        <v>35</v>
      </c>
      <c r="L18" s="13"/>
      <c r="M18" s="13"/>
      <c r="N18" s="13"/>
    </row>
    <row r="19" spans="1:14" ht="26.4" x14ac:dyDescent="0.3">
      <c r="A19" s="11">
        <v>15</v>
      </c>
      <c r="B19" s="12" t="s">
        <v>968</v>
      </c>
      <c r="C19" s="11" t="s">
        <v>969</v>
      </c>
      <c r="D19" s="11" t="s">
        <v>100</v>
      </c>
      <c r="E19" s="11" t="s">
        <v>66</v>
      </c>
      <c r="F19" s="11" t="s">
        <v>67</v>
      </c>
      <c r="G19" s="11" t="s">
        <v>79</v>
      </c>
      <c r="H19" s="11" t="s">
        <v>970</v>
      </c>
      <c r="I19" s="11" t="s">
        <v>971</v>
      </c>
      <c r="J19" s="13"/>
      <c r="K19" s="13" t="s">
        <v>35</v>
      </c>
      <c r="L19" s="13"/>
      <c r="M19" s="13"/>
      <c r="N19" s="13"/>
    </row>
    <row r="20" spans="1:14" ht="26.4" x14ac:dyDescent="0.3">
      <c r="A20" s="11">
        <v>16</v>
      </c>
      <c r="B20" s="12" t="s">
        <v>972</v>
      </c>
      <c r="C20" s="11" t="s">
        <v>973</v>
      </c>
      <c r="D20" s="11" t="s">
        <v>100</v>
      </c>
      <c r="E20" s="11" t="s">
        <v>115</v>
      </c>
      <c r="F20" s="11" t="s">
        <v>67</v>
      </c>
      <c r="G20" s="11" t="s">
        <v>79</v>
      </c>
      <c r="H20" s="11" t="s">
        <v>974</v>
      </c>
      <c r="I20" s="11" t="s">
        <v>975</v>
      </c>
      <c r="J20" s="13"/>
      <c r="K20" s="13" t="s">
        <v>35</v>
      </c>
      <c r="L20" s="13"/>
      <c r="M20" s="13"/>
      <c r="N20" s="13"/>
    </row>
    <row r="21" spans="1:14" x14ac:dyDescent="0.3">
      <c r="A21" s="11">
        <v>17</v>
      </c>
      <c r="B21" s="12" t="s">
        <v>976</v>
      </c>
      <c r="C21" s="11" t="s">
        <v>977</v>
      </c>
      <c r="D21" s="11" t="s">
        <v>100</v>
      </c>
      <c r="E21" s="11" t="s">
        <v>132</v>
      </c>
      <c r="F21" s="11" t="s">
        <v>67</v>
      </c>
      <c r="G21" s="11" t="s">
        <v>79</v>
      </c>
      <c r="H21" s="11" t="s">
        <v>978</v>
      </c>
      <c r="I21" s="11" t="s">
        <v>979</v>
      </c>
      <c r="J21" s="13"/>
      <c r="K21" s="13" t="s">
        <v>35</v>
      </c>
      <c r="L21" s="13"/>
      <c r="M21" s="13"/>
      <c r="N21" s="13"/>
    </row>
    <row r="22" spans="1:14" x14ac:dyDescent="0.3">
      <c r="A22" s="11">
        <v>18</v>
      </c>
      <c r="B22" s="12" t="s">
        <v>980</v>
      </c>
      <c r="C22" s="11" t="s">
        <v>981</v>
      </c>
      <c r="D22" s="11" t="s">
        <v>100</v>
      </c>
      <c r="E22" s="11" t="s">
        <v>132</v>
      </c>
      <c r="F22" s="11" t="s">
        <v>67</v>
      </c>
      <c r="G22" s="11" t="s">
        <v>79</v>
      </c>
      <c r="H22" s="11" t="s">
        <v>982</v>
      </c>
      <c r="I22" s="11" t="s">
        <v>983</v>
      </c>
      <c r="J22" s="13"/>
      <c r="K22" s="13" t="s">
        <v>35</v>
      </c>
      <c r="L22" s="13"/>
      <c r="M22" s="13"/>
      <c r="N22" s="13"/>
    </row>
    <row r="23" spans="1:14" ht="39.6" x14ac:dyDescent="0.3">
      <c r="A23" s="11">
        <v>19</v>
      </c>
      <c r="B23" s="12" t="s">
        <v>984</v>
      </c>
      <c r="C23" s="11" t="s">
        <v>985</v>
      </c>
      <c r="D23" s="11" t="s">
        <v>100</v>
      </c>
      <c r="E23" s="11" t="s">
        <v>66</v>
      </c>
      <c r="F23" s="11" t="s">
        <v>67</v>
      </c>
      <c r="G23" s="11" t="s">
        <v>986</v>
      </c>
      <c r="H23" s="11" t="s">
        <v>987</v>
      </c>
      <c r="I23" s="11" t="s">
        <v>988</v>
      </c>
      <c r="J23" s="13"/>
      <c r="K23" s="13" t="s">
        <v>35</v>
      </c>
      <c r="L23" s="13"/>
      <c r="M23" s="13"/>
      <c r="N23" s="13"/>
    </row>
    <row r="24" spans="1:14" x14ac:dyDescent="0.3">
      <c r="A24" s="11">
        <v>20</v>
      </c>
      <c r="B24" s="12" t="s">
        <v>989</v>
      </c>
      <c r="C24" s="11" t="s">
        <v>990</v>
      </c>
      <c r="D24" s="11" t="s">
        <v>100</v>
      </c>
      <c r="E24" s="11" t="s">
        <v>66</v>
      </c>
      <c r="F24" s="11" t="s">
        <v>67</v>
      </c>
      <c r="G24" s="11" t="s">
        <v>986</v>
      </c>
      <c r="H24" s="11" t="s">
        <v>991</v>
      </c>
      <c r="I24" s="11" t="s">
        <v>992</v>
      </c>
      <c r="J24" s="13"/>
      <c r="K24" s="13" t="s">
        <v>35</v>
      </c>
      <c r="L24" s="13"/>
      <c r="M24" s="13"/>
      <c r="N24" s="13"/>
    </row>
    <row r="25" spans="1:14" ht="39.6" x14ac:dyDescent="0.3">
      <c r="A25" s="11">
        <v>21</v>
      </c>
      <c r="B25" s="12" t="s">
        <v>993</v>
      </c>
      <c r="C25" s="11" t="s">
        <v>994</v>
      </c>
      <c r="D25" s="11" t="s">
        <v>100</v>
      </c>
      <c r="E25" s="11" t="s">
        <v>115</v>
      </c>
      <c r="F25" s="11" t="s">
        <v>67</v>
      </c>
      <c r="G25" s="11" t="s">
        <v>995</v>
      </c>
      <c r="H25" s="11" t="s">
        <v>996</v>
      </c>
      <c r="I25" s="11" t="s">
        <v>997</v>
      </c>
      <c r="J25" s="13"/>
      <c r="K25" s="13" t="s">
        <v>35</v>
      </c>
      <c r="L25" s="13"/>
      <c r="M25" s="13"/>
      <c r="N25" s="13"/>
    </row>
    <row r="26" spans="1:14" ht="26.4" x14ac:dyDescent="0.3">
      <c r="A26" s="11">
        <v>22</v>
      </c>
      <c r="B26" s="12" t="s">
        <v>998</v>
      </c>
      <c r="C26" s="11" t="s">
        <v>999</v>
      </c>
      <c r="D26" s="11" t="s">
        <v>100</v>
      </c>
      <c r="E26" s="11" t="s">
        <v>132</v>
      </c>
      <c r="F26" s="11" t="s">
        <v>67</v>
      </c>
      <c r="G26" s="11" t="s">
        <v>1000</v>
      </c>
      <c r="H26" s="11" t="s">
        <v>1001</v>
      </c>
      <c r="I26" s="11" t="s">
        <v>1002</v>
      </c>
      <c r="J26" s="13"/>
      <c r="K26" s="13" t="s">
        <v>35</v>
      </c>
      <c r="L26" s="13"/>
      <c r="M26" s="13"/>
      <c r="N26" s="13"/>
    </row>
  </sheetData>
  <autoFilter ref="A4:N26" xr:uid="{00000000-0009-0000-0000-000008000000}"/>
  <conditionalFormatting sqref="K5:K26">
    <cfRule type="cellIs" dxfId="5" priority="1" operator="equal">
      <formula>"Pass"</formula>
    </cfRule>
    <cfRule type="cellIs" dxfId="4" priority="2" operator="equal">
      <formula>"Fail"</formula>
    </cfRule>
    <cfRule type="cellIs" dxfId="3" priority="3" operator="equal">
      <formula>"Blocked"</formula>
    </cfRule>
  </conditionalFormatting>
  <dataValidations count="1">
    <dataValidation type="list" sqref="K5:K26" xr:uid="{00000000-0002-0000-0800-000000000000}">
      <formula1>"Not Run,Pass,Fail,Blocked,N/A"</formula1>
    </dataValidation>
  </dataValidation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43"/>
  <sheetViews>
    <sheetView zoomScale="90" workbookViewId="0">
      <pane xSplit="3" ySplit="4" topLeftCell="D5" activePane="bottomRight" state="frozen"/>
      <selection pane="topRight"/>
      <selection pane="bottomLeft"/>
      <selection pane="bottomRight"/>
    </sheetView>
  </sheetViews>
  <sheetFormatPr defaultRowHeight="14.4" x14ac:dyDescent="0.3"/>
  <cols>
    <col min="1" max="1" width="6" customWidth="1"/>
    <col min="2" max="2" width="10" customWidth="1"/>
    <col min="3" max="3" width="22" customWidth="1"/>
    <col min="4" max="4" width="14" customWidth="1"/>
    <col min="5" max="5" width="9" customWidth="1"/>
    <col min="6" max="6" width="8" customWidth="1"/>
    <col min="7" max="7" width="34" customWidth="1"/>
    <col min="8" max="8" width="52" customWidth="1"/>
    <col min="9" max="9" width="64" customWidth="1"/>
    <col min="10" max="10" width="36" customWidth="1"/>
    <col min="11" max="11" width="11" customWidth="1"/>
    <col min="12" max="12" width="24" customWidth="1"/>
    <col min="13" max="13" width="12" customWidth="1"/>
    <col min="14" max="14" width="13" customWidth="1"/>
  </cols>
  <sheetData>
    <row r="1" spans="1:14" ht="17.399999999999999" x14ac:dyDescent="0.3">
      <c r="A1" s="4" t="s">
        <v>1003</v>
      </c>
    </row>
    <row r="2" spans="1:14" x14ac:dyDescent="0.3">
      <c r="A2" s="5" t="s">
        <v>1004</v>
      </c>
    </row>
    <row r="4" spans="1:14" ht="30" customHeight="1" x14ac:dyDescent="0.3">
      <c r="A4" s="6" t="s">
        <v>49</v>
      </c>
      <c r="B4" s="6" t="s">
        <v>50</v>
      </c>
      <c r="C4" s="6" t="s">
        <v>51</v>
      </c>
      <c r="D4" s="6" t="s">
        <v>52</v>
      </c>
      <c r="E4" s="6" t="s">
        <v>53</v>
      </c>
      <c r="F4" s="6" t="s">
        <v>54</v>
      </c>
      <c r="G4" s="6" t="s">
        <v>55</v>
      </c>
      <c r="H4" s="6" t="s">
        <v>56</v>
      </c>
      <c r="I4" s="6" t="s">
        <v>57</v>
      </c>
      <c r="J4" s="6" t="s">
        <v>58</v>
      </c>
      <c r="K4" s="6" t="s">
        <v>59</v>
      </c>
      <c r="L4" s="6" t="s">
        <v>60</v>
      </c>
      <c r="M4" s="6" t="s">
        <v>61</v>
      </c>
      <c r="N4" s="6" t="s">
        <v>62</v>
      </c>
    </row>
    <row r="5" spans="1:14" ht="26.4" x14ac:dyDescent="0.3">
      <c r="A5" s="11">
        <v>1</v>
      </c>
      <c r="B5" s="12" t="s">
        <v>1005</v>
      </c>
      <c r="C5" s="11" t="s">
        <v>1006</v>
      </c>
      <c r="D5" s="11" t="s">
        <v>1007</v>
      </c>
      <c r="E5" s="11" t="s">
        <v>115</v>
      </c>
      <c r="F5" s="11" t="s">
        <v>67</v>
      </c>
      <c r="G5" s="11" t="s">
        <v>1008</v>
      </c>
      <c r="H5" s="11" t="s">
        <v>1009</v>
      </c>
      <c r="I5" s="11" t="s">
        <v>1010</v>
      </c>
      <c r="J5" s="13"/>
      <c r="K5" s="13" t="s">
        <v>35</v>
      </c>
      <c r="L5" s="13"/>
      <c r="M5" s="13"/>
      <c r="N5" s="13"/>
    </row>
    <row r="6" spans="1:14" ht="26.4" x14ac:dyDescent="0.3">
      <c r="A6" s="11">
        <v>2</v>
      </c>
      <c r="B6" s="12" t="s">
        <v>1011</v>
      </c>
      <c r="C6" s="11" t="s">
        <v>1012</v>
      </c>
      <c r="D6" s="11" t="s">
        <v>84</v>
      </c>
      <c r="E6" s="11" t="s">
        <v>66</v>
      </c>
      <c r="F6" s="11" t="s">
        <v>67</v>
      </c>
      <c r="G6" s="11" t="s">
        <v>1013</v>
      </c>
      <c r="H6" s="11" t="s">
        <v>574</v>
      </c>
      <c r="I6" s="11" t="s">
        <v>1014</v>
      </c>
      <c r="J6" s="13"/>
      <c r="K6" s="13" t="s">
        <v>35</v>
      </c>
      <c r="L6" s="13"/>
      <c r="M6" s="13"/>
      <c r="N6" s="13"/>
    </row>
    <row r="7" spans="1:14" ht="66" x14ac:dyDescent="0.3">
      <c r="A7" s="11">
        <v>3</v>
      </c>
      <c r="B7" s="12" t="s">
        <v>1015</v>
      </c>
      <c r="C7" s="11" t="s">
        <v>1016</v>
      </c>
      <c r="D7" s="11" t="s">
        <v>95</v>
      </c>
      <c r="E7" s="11" t="s">
        <v>66</v>
      </c>
      <c r="F7" s="11" t="s">
        <v>67</v>
      </c>
      <c r="G7" s="11" t="s">
        <v>1017</v>
      </c>
      <c r="H7" s="11" t="s">
        <v>1018</v>
      </c>
      <c r="I7" s="11" t="s">
        <v>1019</v>
      </c>
      <c r="J7" s="13"/>
      <c r="K7" s="13" t="s">
        <v>35</v>
      </c>
      <c r="L7" s="13"/>
      <c r="M7" s="13"/>
      <c r="N7" s="13"/>
    </row>
    <row r="8" spans="1:14" ht="52.8" x14ac:dyDescent="0.3">
      <c r="A8" s="11">
        <v>4</v>
      </c>
      <c r="B8" s="12" t="s">
        <v>1020</v>
      </c>
      <c r="C8" s="11" t="s">
        <v>1021</v>
      </c>
      <c r="D8" s="11" t="s">
        <v>1022</v>
      </c>
      <c r="E8" s="11" t="s">
        <v>66</v>
      </c>
      <c r="F8" s="11" t="s">
        <v>67</v>
      </c>
      <c r="G8" s="11" t="s">
        <v>79</v>
      </c>
      <c r="H8" s="11" t="s">
        <v>1023</v>
      </c>
      <c r="I8" s="11" t="s">
        <v>1024</v>
      </c>
      <c r="J8" s="13"/>
      <c r="K8" s="13" t="s">
        <v>35</v>
      </c>
      <c r="L8" s="13"/>
      <c r="M8" s="13"/>
      <c r="N8" s="13"/>
    </row>
    <row r="9" spans="1:14" ht="26.4" x14ac:dyDescent="0.3">
      <c r="A9" s="11">
        <v>5</v>
      </c>
      <c r="B9" s="12" t="s">
        <v>1025</v>
      </c>
      <c r="C9" s="11" t="s">
        <v>1021</v>
      </c>
      <c r="D9" s="11" t="s">
        <v>100</v>
      </c>
      <c r="E9" s="11" t="s">
        <v>115</v>
      </c>
      <c r="F9" s="11" t="s">
        <v>67</v>
      </c>
      <c r="G9" s="11" t="s">
        <v>1026</v>
      </c>
      <c r="H9" s="11" t="s">
        <v>1027</v>
      </c>
      <c r="I9" s="11" t="s">
        <v>1028</v>
      </c>
      <c r="J9" s="13"/>
      <c r="K9" s="13" t="s">
        <v>35</v>
      </c>
      <c r="L9" s="13"/>
      <c r="M9" s="13"/>
      <c r="N9" s="13"/>
    </row>
    <row r="10" spans="1:14" ht="39.6" x14ac:dyDescent="0.3">
      <c r="A10" s="11">
        <v>6</v>
      </c>
      <c r="B10" s="12" t="s">
        <v>1029</v>
      </c>
      <c r="C10" s="11" t="s">
        <v>1030</v>
      </c>
      <c r="D10" s="11" t="s">
        <v>84</v>
      </c>
      <c r="E10" s="11" t="s">
        <v>115</v>
      </c>
      <c r="F10" s="11" t="s">
        <v>67</v>
      </c>
      <c r="G10" s="11" t="s">
        <v>1031</v>
      </c>
      <c r="H10" s="11" t="s">
        <v>1032</v>
      </c>
      <c r="I10" s="11" t="s">
        <v>1033</v>
      </c>
      <c r="J10" s="13"/>
      <c r="K10" s="13" t="s">
        <v>35</v>
      </c>
      <c r="L10" s="13"/>
      <c r="M10" s="13"/>
      <c r="N10" s="13"/>
    </row>
    <row r="11" spans="1:14" x14ac:dyDescent="0.3">
      <c r="A11" s="11">
        <v>7</v>
      </c>
      <c r="B11" s="12" t="s">
        <v>1034</v>
      </c>
      <c r="C11" s="11" t="s">
        <v>1035</v>
      </c>
      <c r="D11" s="11" t="s">
        <v>100</v>
      </c>
      <c r="E11" s="11" t="s">
        <v>66</v>
      </c>
      <c r="F11" s="11" t="s">
        <v>67</v>
      </c>
      <c r="G11" s="11" t="s">
        <v>1036</v>
      </c>
      <c r="H11" s="11" t="s">
        <v>1037</v>
      </c>
      <c r="I11" s="11" t="s">
        <v>1038</v>
      </c>
      <c r="J11" s="13"/>
      <c r="K11" s="13" t="s">
        <v>35</v>
      </c>
      <c r="L11" s="13"/>
      <c r="M11" s="13"/>
      <c r="N11" s="13"/>
    </row>
    <row r="12" spans="1:14" ht="52.8" x14ac:dyDescent="0.3">
      <c r="A12" s="11">
        <v>8</v>
      </c>
      <c r="B12" s="12" t="s">
        <v>1039</v>
      </c>
      <c r="C12" s="11" t="s">
        <v>1035</v>
      </c>
      <c r="D12" s="11" t="s">
        <v>95</v>
      </c>
      <c r="E12" s="11" t="s">
        <v>66</v>
      </c>
      <c r="F12" s="11" t="s">
        <v>67</v>
      </c>
      <c r="G12" s="11" t="s">
        <v>1040</v>
      </c>
      <c r="H12" s="11" t="s">
        <v>1041</v>
      </c>
      <c r="I12" s="11" t="s">
        <v>1042</v>
      </c>
      <c r="J12" s="13"/>
      <c r="K12" s="13" t="s">
        <v>35</v>
      </c>
      <c r="L12" s="13"/>
      <c r="M12" s="13"/>
      <c r="N12" s="13"/>
    </row>
    <row r="13" spans="1:14" ht="26.4" x14ac:dyDescent="0.3">
      <c r="A13" s="11">
        <v>9</v>
      </c>
      <c r="B13" s="12" t="s">
        <v>1043</v>
      </c>
      <c r="C13" s="11" t="s">
        <v>1044</v>
      </c>
      <c r="D13" s="11" t="s">
        <v>100</v>
      </c>
      <c r="E13" s="11" t="s">
        <v>132</v>
      </c>
      <c r="F13" s="11" t="s">
        <v>67</v>
      </c>
      <c r="G13" s="11" t="s">
        <v>1045</v>
      </c>
      <c r="H13" s="11" t="s">
        <v>1046</v>
      </c>
      <c r="I13" s="11" t="s">
        <v>1047</v>
      </c>
      <c r="J13" s="13"/>
      <c r="K13" s="13" t="s">
        <v>35</v>
      </c>
      <c r="L13" s="13"/>
      <c r="M13" s="13"/>
      <c r="N13" s="13"/>
    </row>
    <row r="14" spans="1:14" ht="118.8" x14ac:dyDescent="0.3">
      <c r="A14" s="11">
        <v>10</v>
      </c>
      <c r="B14" s="12" t="s">
        <v>1048</v>
      </c>
      <c r="C14" s="11" t="s">
        <v>1049</v>
      </c>
      <c r="D14" s="11" t="s">
        <v>339</v>
      </c>
      <c r="E14" s="11" t="s">
        <v>66</v>
      </c>
      <c r="F14" s="11" t="s">
        <v>563</v>
      </c>
      <c r="G14" s="11" t="s">
        <v>1050</v>
      </c>
      <c r="H14" s="11" t="s">
        <v>1051</v>
      </c>
      <c r="I14" s="11" t="s">
        <v>1052</v>
      </c>
      <c r="J14" s="13"/>
      <c r="K14" s="13" t="s">
        <v>35</v>
      </c>
      <c r="L14" s="13"/>
      <c r="M14" s="13"/>
      <c r="N14" s="13"/>
    </row>
    <row r="15" spans="1:14" ht="52.8" x14ac:dyDescent="0.3">
      <c r="A15" s="11">
        <v>11</v>
      </c>
      <c r="B15" s="12" t="s">
        <v>1053</v>
      </c>
      <c r="C15" s="11" t="s">
        <v>1054</v>
      </c>
      <c r="D15" s="11" t="s">
        <v>796</v>
      </c>
      <c r="E15" s="11" t="s">
        <v>66</v>
      </c>
      <c r="F15" s="11" t="s">
        <v>67</v>
      </c>
      <c r="G15" s="11" t="s">
        <v>781</v>
      </c>
      <c r="H15" s="11" t="s">
        <v>1055</v>
      </c>
      <c r="I15" s="11" t="s">
        <v>1056</v>
      </c>
      <c r="J15" s="13"/>
      <c r="K15" s="13" t="s">
        <v>35</v>
      </c>
      <c r="L15" s="13"/>
      <c r="M15" s="13"/>
      <c r="N15" s="13"/>
    </row>
    <row r="16" spans="1:14" ht="52.8" x14ac:dyDescent="0.3">
      <c r="A16" s="11">
        <v>12</v>
      </c>
      <c r="B16" s="12" t="s">
        <v>1057</v>
      </c>
      <c r="C16" s="11" t="s">
        <v>1058</v>
      </c>
      <c r="D16" s="11" t="s">
        <v>1059</v>
      </c>
      <c r="E16" s="11" t="s">
        <v>66</v>
      </c>
      <c r="F16" s="11" t="s">
        <v>67</v>
      </c>
      <c r="G16" s="11" t="s">
        <v>79</v>
      </c>
      <c r="H16" s="11" t="s">
        <v>1060</v>
      </c>
      <c r="I16" s="11" t="s">
        <v>1061</v>
      </c>
      <c r="J16" s="13"/>
      <c r="K16" s="13" t="s">
        <v>35</v>
      </c>
      <c r="L16" s="13"/>
      <c r="M16" s="13"/>
      <c r="N16" s="13"/>
    </row>
    <row r="17" spans="1:14" ht="39.6" x14ac:dyDescent="0.3">
      <c r="A17" s="11">
        <v>13</v>
      </c>
      <c r="B17" s="12" t="s">
        <v>1062</v>
      </c>
      <c r="C17" s="11" t="s">
        <v>1063</v>
      </c>
      <c r="D17" s="11" t="s">
        <v>1059</v>
      </c>
      <c r="E17" s="11" t="s">
        <v>115</v>
      </c>
      <c r="F17" s="11" t="s">
        <v>67</v>
      </c>
      <c r="G17" s="11" t="s">
        <v>79</v>
      </c>
      <c r="H17" s="11" t="s">
        <v>1064</v>
      </c>
      <c r="I17" s="11" t="s">
        <v>1065</v>
      </c>
      <c r="J17" s="13"/>
      <c r="K17" s="13" t="s">
        <v>35</v>
      </c>
      <c r="L17" s="13"/>
      <c r="M17" s="13"/>
      <c r="N17" s="13"/>
    </row>
    <row r="18" spans="1:14" ht="52.8" x14ac:dyDescent="0.3">
      <c r="A18" s="11">
        <v>14</v>
      </c>
      <c r="B18" s="12" t="s">
        <v>1066</v>
      </c>
      <c r="C18" s="11" t="s">
        <v>1067</v>
      </c>
      <c r="D18" s="11" t="s">
        <v>1068</v>
      </c>
      <c r="E18" s="11" t="s">
        <v>66</v>
      </c>
      <c r="F18" s="11" t="s">
        <v>67</v>
      </c>
      <c r="G18" s="11" t="s">
        <v>79</v>
      </c>
      <c r="H18" s="11" t="s">
        <v>1069</v>
      </c>
      <c r="I18" s="11" t="s">
        <v>1070</v>
      </c>
      <c r="J18" s="13"/>
      <c r="K18" s="13" t="s">
        <v>35</v>
      </c>
      <c r="L18" s="13"/>
      <c r="M18" s="13"/>
      <c r="N18" s="13"/>
    </row>
    <row r="19" spans="1:14" ht="26.4" x14ac:dyDescent="0.3">
      <c r="A19" s="11">
        <v>15</v>
      </c>
      <c r="B19" s="12" t="s">
        <v>1071</v>
      </c>
      <c r="C19" s="11" t="s">
        <v>1072</v>
      </c>
      <c r="D19" s="11" t="s">
        <v>84</v>
      </c>
      <c r="E19" s="11" t="s">
        <v>115</v>
      </c>
      <c r="F19" s="11" t="s">
        <v>67</v>
      </c>
      <c r="G19" s="11" t="s">
        <v>79</v>
      </c>
      <c r="H19" s="11" t="s">
        <v>1073</v>
      </c>
      <c r="I19" s="11" t="s">
        <v>1074</v>
      </c>
      <c r="J19" s="13"/>
      <c r="K19" s="13" t="s">
        <v>35</v>
      </c>
      <c r="L19" s="13"/>
      <c r="M19" s="13"/>
      <c r="N19" s="13"/>
    </row>
    <row r="20" spans="1:14" ht="26.4" x14ac:dyDescent="0.3">
      <c r="A20" s="11">
        <v>16</v>
      </c>
      <c r="B20" s="12" t="s">
        <v>1075</v>
      </c>
      <c r="C20" s="11" t="s">
        <v>1076</v>
      </c>
      <c r="D20" s="11" t="s">
        <v>1059</v>
      </c>
      <c r="E20" s="11" t="s">
        <v>115</v>
      </c>
      <c r="F20" s="11" t="s">
        <v>67</v>
      </c>
      <c r="G20" s="11" t="s">
        <v>1077</v>
      </c>
      <c r="H20" s="11" t="s">
        <v>1078</v>
      </c>
      <c r="I20" s="11" t="s">
        <v>1079</v>
      </c>
      <c r="J20" s="13"/>
      <c r="K20" s="13" t="s">
        <v>35</v>
      </c>
      <c r="L20" s="13"/>
      <c r="M20" s="13"/>
      <c r="N20" s="13"/>
    </row>
    <row r="21" spans="1:14" x14ac:dyDescent="0.3">
      <c r="A21" s="11">
        <v>17</v>
      </c>
      <c r="B21" s="12" t="s">
        <v>1080</v>
      </c>
      <c r="C21" s="11" t="s">
        <v>1081</v>
      </c>
      <c r="D21" s="11" t="s">
        <v>1082</v>
      </c>
      <c r="E21" s="11" t="s">
        <v>115</v>
      </c>
      <c r="F21" s="11" t="s">
        <v>67</v>
      </c>
      <c r="G21" s="11" t="s">
        <v>1083</v>
      </c>
      <c r="H21" s="11" t="s">
        <v>1084</v>
      </c>
      <c r="I21" s="11" t="s">
        <v>1085</v>
      </c>
      <c r="J21" s="13"/>
      <c r="K21" s="13" t="s">
        <v>35</v>
      </c>
      <c r="L21" s="13"/>
      <c r="M21" s="13"/>
      <c r="N21" s="13"/>
    </row>
    <row r="22" spans="1:14" ht="52.8" x14ac:dyDescent="0.3">
      <c r="A22" s="11">
        <v>18</v>
      </c>
      <c r="B22" s="12" t="s">
        <v>1086</v>
      </c>
      <c r="C22" s="11" t="s">
        <v>1087</v>
      </c>
      <c r="D22" s="11" t="s">
        <v>339</v>
      </c>
      <c r="E22" s="11" t="s">
        <v>115</v>
      </c>
      <c r="F22" s="11" t="s">
        <v>563</v>
      </c>
      <c r="G22" s="11" t="s">
        <v>1088</v>
      </c>
      <c r="H22" s="11" t="s">
        <v>1089</v>
      </c>
      <c r="I22" s="11" t="s">
        <v>1090</v>
      </c>
      <c r="J22" s="13"/>
      <c r="K22" s="13" t="s">
        <v>35</v>
      </c>
      <c r="L22" s="13"/>
      <c r="M22" s="13"/>
      <c r="N22" s="13"/>
    </row>
    <row r="23" spans="1:14" ht="39.6" x14ac:dyDescent="0.3">
      <c r="A23" s="11">
        <v>19</v>
      </c>
      <c r="B23" s="12" t="s">
        <v>1091</v>
      </c>
      <c r="C23" s="11" t="s">
        <v>1092</v>
      </c>
      <c r="D23" s="11" t="s">
        <v>84</v>
      </c>
      <c r="E23" s="11" t="s">
        <v>115</v>
      </c>
      <c r="F23" s="11" t="s">
        <v>67</v>
      </c>
      <c r="G23" s="11" t="s">
        <v>1093</v>
      </c>
      <c r="H23" s="11" t="s">
        <v>1094</v>
      </c>
      <c r="I23" s="11" t="s">
        <v>1095</v>
      </c>
      <c r="J23" s="13"/>
      <c r="K23" s="13" t="s">
        <v>35</v>
      </c>
      <c r="L23" s="13"/>
      <c r="M23" s="13"/>
      <c r="N23" s="13"/>
    </row>
    <row r="24" spans="1:14" ht="52.8" x14ac:dyDescent="0.3">
      <c r="A24" s="11">
        <v>20</v>
      </c>
      <c r="B24" s="12" t="s">
        <v>1096</v>
      </c>
      <c r="C24" s="11" t="s">
        <v>1097</v>
      </c>
      <c r="D24" s="11" t="s">
        <v>84</v>
      </c>
      <c r="E24" s="11" t="s">
        <v>66</v>
      </c>
      <c r="F24" s="11" t="s">
        <v>67</v>
      </c>
      <c r="G24" s="11" t="s">
        <v>1098</v>
      </c>
      <c r="H24" s="11" t="s">
        <v>1099</v>
      </c>
      <c r="I24" s="11" t="s">
        <v>1100</v>
      </c>
      <c r="J24" s="13"/>
      <c r="K24" s="13" t="s">
        <v>35</v>
      </c>
      <c r="L24" s="13"/>
      <c r="M24" s="13"/>
      <c r="N24" s="13"/>
    </row>
    <row r="25" spans="1:14" ht="39.6" x14ac:dyDescent="0.3">
      <c r="A25" s="11">
        <v>21</v>
      </c>
      <c r="B25" s="12" t="s">
        <v>1101</v>
      </c>
      <c r="C25" s="11" t="s">
        <v>1102</v>
      </c>
      <c r="D25" s="11" t="s">
        <v>95</v>
      </c>
      <c r="E25" s="11" t="s">
        <v>66</v>
      </c>
      <c r="F25" s="11" t="s">
        <v>67</v>
      </c>
      <c r="G25" s="11" t="s">
        <v>1103</v>
      </c>
      <c r="H25" s="11" t="s">
        <v>1104</v>
      </c>
      <c r="I25" s="11" t="s">
        <v>1105</v>
      </c>
      <c r="J25" s="13"/>
      <c r="K25" s="13" t="s">
        <v>35</v>
      </c>
      <c r="L25" s="13"/>
      <c r="M25" s="13"/>
      <c r="N25" s="13"/>
    </row>
    <row r="26" spans="1:14" ht="39.6" x14ac:dyDescent="0.3">
      <c r="A26" s="11">
        <v>22</v>
      </c>
      <c r="B26" s="12" t="s">
        <v>1106</v>
      </c>
      <c r="C26" s="11" t="s">
        <v>1107</v>
      </c>
      <c r="D26" s="11" t="s">
        <v>95</v>
      </c>
      <c r="E26" s="11" t="s">
        <v>115</v>
      </c>
      <c r="F26" s="11" t="s">
        <v>67</v>
      </c>
      <c r="G26" s="11" t="s">
        <v>1108</v>
      </c>
      <c r="H26" s="11" t="s">
        <v>1109</v>
      </c>
      <c r="I26" s="11" t="s">
        <v>1110</v>
      </c>
      <c r="J26" s="13"/>
      <c r="K26" s="13" t="s">
        <v>35</v>
      </c>
      <c r="L26" s="13"/>
      <c r="M26" s="13"/>
      <c r="N26" s="13"/>
    </row>
    <row r="27" spans="1:14" ht="26.4" x14ac:dyDescent="0.3">
      <c r="A27" s="11">
        <v>23</v>
      </c>
      <c r="B27" s="12" t="s">
        <v>1111</v>
      </c>
      <c r="C27" s="11" t="s">
        <v>1112</v>
      </c>
      <c r="D27" s="11" t="s">
        <v>84</v>
      </c>
      <c r="E27" s="11" t="s">
        <v>66</v>
      </c>
      <c r="F27" s="11" t="s">
        <v>67</v>
      </c>
      <c r="G27" s="11" t="s">
        <v>1113</v>
      </c>
      <c r="H27" s="11" t="s">
        <v>1114</v>
      </c>
      <c r="I27" s="11" t="s">
        <v>1115</v>
      </c>
      <c r="J27" s="13"/>
      <c r="K27" s="13" t="s">
        <v>35</v>
      </c>
      <c r="L27" s="13"/>
      <c r="M27" s="13"/>
      <c r="N27" s="13"/>
    </row>
    <row r="28" spans="1:14" ht="26.4" x14ac:dyDescent="0.3">
      <c r="A28" s="11">
        <v>24</v>
      </c>
      <c r="B28" s="12" t="s">
        <v>1116</v>
      </c>
      <c r="C28" s="11" t="s">
        <v>1117</v>
      </c>
      <c r="D28" s="11" t="s">
        <v>1118</v>
      </c>
      <c r="E28" s="11" t="s">
        <v>66</v>
      </c>
      <c r="F28" s="11" t="s">
        <v>67</v>
      </c>
      <c r="G28" s="11" t="s">
        <v>79</v>
      </c>
      <c r="H28" s="11" t="s">
        <v>1119</v>
      </c>
      <c r="I28" s="11" t="s">
        <v>1120</v>
      </c>
      <c r="J28" s="13"/>
      <c r="K28" s="13" t="s">
        <v>35</v>
      </c>
      <c r="L28" s="13"/>
      <c r="M28" s="13"/>
      <c r="N28" s="13"/>
    </row>
    <row r="29" spans="1:14" ht="26.4" x14ac:dyDescent="0.3">
      <c r="A29" s="11">
        <v>25</v>
      </c>
      <c r="B29" s="12" t="s">
        <v>1121</v>
      </c>
      <c r="C29" s="11" t="s">
        <v>1122</v>
      </c>
      <c r="D29" s="11" t="s">
        <v>95</v>
      </c>
      <c r="E29" s="11" t="s">
        <v>115</v>
      </c>
      <c r="F29" s="11" t="s">
        <v>67</v>
      </c>
      <c r="G29" s="11" t="s">
        <v>1123</v>
      </c>
      <c r="H29" s="11" t="s">
        <v>1124</v>
      </c>
      <c r="I29" s="11" t="s">
        <v>1125</v>
      </c>
      <c r="J29" s="13"/>
      <c r="K29" s="13" t="s">
        <v>35</v>
      </c>
      <c r="L29" s="13"/>
      <c r="M29" s="13"/>
      <c r="N29" s="13"/>
    </row>
    <row r="30" spans="1:14" ht="39.6" x14ac:dyDescent="0.3">
      <c r="A30" s="11">
        <v>26</v>
      </c>
      <c r="B30" s="12" t="s">
        <v>1126</v>
      </c>
      <c r="C30" s="11" t="s">
        <v>1127</v>
      </c>
      <c r="D30" s="11" t="s">
        <v>84</v>
      </c>
      <c r="E30" s="11" t="s">
        <v>115</v>
      </c>
      <c r="F30" s="11" t="s">
        <v>67</v>
      </c>
      <c r="G30" s="11" t="s">
        <v>79</v>
      </c>
      <c r="H30" s="11" t="s">
        <v>1128</v>
      </c>
      <c r="I30" s="11" t="s">
        <v>1129</v>
      </c>
      <c r="J30" s="13"/>
      <c r="K30" s="13" t="s">
        <v>35</v>
      </c>
      <c r="L30" s="13"/>
      <c r="M30" s="13"/>
      <c r="N30" s="13"/>
    </row>
    <row r="31" spans="1:14" ht="26.4" x14ac:dyDescent="0.3">
      <c r="A31" s="11">
        <v>27</v>
      </c>
      <c r="B31" s="12" t="s">
        <v>1130</v>
      </c>
      <c r="C31" s="11" t="s">
        <v>1131</v>
      </c>
      <c r="D31" s="11" t="s">
        <v>100</v>
      </c>
      <c r="E31" s="11" t="s">
        <v>66</v>
      </c>
      <c r="F31" s="11" t="s">
        <v>67</v>
      </c>
      <c r="G31" s="11" t="s">
        <v>1132</v>
      </c>
      <c r="H31" s="11" t="s">
        <v>1133</v>
      </c>
      <c r="I31" s="11" t="s">
        <v>1134</v>
      </c>
      <c r="J31" s="13"/>
      <c r="K31" s="13" t="s">
        <v>35</v>
      </c>
      <c r="L31" s="13"/>
      <c r="M31" s="13"/>
      <c r="N31" s="13"/>
    </row>
    <row r="32" spans="1:14" x14ac:dyDescent="0.3">
      <c r="A32" s="11">
        <v>28</v>
      </c>
      <c r="B32" s="12" t="s">
        <v>1135</v>
      </c>
      <c r="C32" s="11" t="s">
        <v>1131</v>
      </c>
      <c r="D32" s="11" t="s">
        <v>84</v>
      </c>
      <c r="E32" s="11" t="s">
        <v>115</v>
      </c>
      <c r="F32" s="11" t="s">
        <v>67</v>
      </c>
      <c r="G32" s="11" t="s">
        <v>1136</v>
      </c>
      <c r="H32" s="11" t="s">
        <v>1137</v>
      </c>
      <c r="I32" s="11" t="s">
        <v>1138</v>
      </c>
      <c r="J32" s="13"/>
      <c r="K32" s="13" t="s">
        <v>35</v>
      </c>
      <c r="L32" s="13"/>
      <c r="M32" s="13"/>
      <c r="N32" s="13"/>
    </row>
    <row r="33" spans="1:14" ht="26.4" x14ac:dyDescent="0.3">
      <c r="A33" s="11">
        <v>29</v>
      </c>
      <c r="B33" s="12" t="s">
        <v>1139</v>
      </c>
      <c r="C33" s="11" t="s">
        <v>1140</v>
      </c>
      <c r="D33" s="11" t="s">
        <v>100</v>
      </c>
      <c r="E33" s="11" t="s">
        <v>66</v>
      </c>
      <c r="F33" s="11" t="s">
        <v>67</v>
      </c>
      <c r="G33" s="11" t="s">
        <v>1141</v>
      </c>
      <c r="H33" s="11" t="s">
        <v>1142</v>
      </c>
      <c r="I33" s="11" t="s">
        <v>1143</v>
      </c>
      <c r="J33" s="13"/>
      <c r="K33" s="13" t="s">
        <v>35</v>
      </c>
      <c r="L33" s="13"/>
      <c r="M33" s="13"/>
      <c r="N33" s="13"/>
    </row>
    <row r="34" spans="1:14" x14ac:dyDescent="0.3">
      <c r="A34" s="11">
        <v>30</v>
      </c>
      <c r="B34" s="12" t="s">
        <v>1144</v>
      </c>
      <c r="C34" s="11" t="s">
        <v>1145</v>
      </c>
      <c r="D34" s="11" t="s">
        <v>100</v>
      </c>
      <c r="E34" s="11" t="s">
        <v>115</v>
      </c>
      <c r="F34" s="11" t="s">
        <v>67</v>
      </c>
      <c r="G34" s="11" t="s">
        <v>1146</v>
      </c>
      <c r="H34" s="11" t="s">
        <v>1147</v>
      </c>
      <c r="I34" s="11" t="s">
        <v>1148</v>
      </c>
      <c r="J34" s="13"/>
      <c r="K34" s="13" t="s">
        <v>35</v>
      </c>
      <c r="L34" s="13"/>
      <c r="M34" s="13"/>
      <c r="N34" s="13"/>
    </row>
    <row r="35" spans="1:14" ht="26.4" x14ac:dyDescent="0.3">
      <c r="A35" s="11">
        <v>31</v>
      </c>
      <c r="B35" s="12" t="s">
        <v>1149</v>
      </c>
      <c r="C35" s="11" t="s">
        <v>1150</v>
      </c>
      <c r="D35" s="11" t="s">
        <v>100</v>
      </c>
      <c r="E35" s="11" t="s">
        <v>115</v>
      </c>
      <c r="F35" s="11" t="s">
        <v>67</v>
      </c>
      <c r="G35" s="11" t="s">
        <v>1151</v>
      </c>
      <c r="H35" s="11" t="s">
        <v>1152</v>
      </c>
      <c r="I35" s="11" t="s">
        <v>1153</v>
      </c>
      <c r="J35" s="13"/>
      <c r="K35" s="13" t="s">
        <v>35</v>
      </c>
      <c r="L35" s="13"/>
      <c r="M35" s="13"/>
      <c r="N35" s="13"/>
    </row>
    <row r="36" spans="1:14" ht="26.4" x14ac:dyDescent="0.3">
      <c r="A36" s="11">
        <v>32</v>
      </c>
      <c r="B36" s="12" t="s">
        <v>1154</v>
      </c>
      <c r="C36" s="11" t="s">
        <v>1155</v>
      </c>
      <c r="D36" s="11" t="s">
        <v>95</v>
      </c>
      <c r="E36" s="11" t="s">
        <v>66</v>
      </c>
      <c r="F36" s="11" t="s">
        <v>67</v>
      </c>
      <c r="G36" s="11" t="s">
        <v>1156</v>
      </c>
      <c r="H36" s="11" t="s">
        <v>1157</v>
      </c>
      <c r="I36" s="11" t="s">
        <v>1158</v>
      </c>
      <c r="J36" s="13"/>
      <c r="K36" s="13" t="s">
        <v>35</v>
      </c>
      <c r="L36" s="13"/>
      <c r="M36" s="13"/>
      <c r="N36" s="13"/>
    </row>
    <row r="37" spans="1:14" ht="26.4" x14ac:dyDescent="0.3">
      <c r="A37" s="11">
        <v>33</v>
      </c>
      <c r="B37" s="12" t="s">
        <v>1159</v>
      </c>
      <c r="C37" s="11" t="s">
        <v>1160</v>
      </c>
      <c r="D37" s="11" t="s">
        <v>100</v>
      </c>
      <c r="E37" s="11" t="s">
        <v>66</v>
      </c>
      <c r="F37" s="11" t="s">
        <v>67</v>
      </c>
      <c r="G37" s="11" t="s">
        <v>1161</v>
      </c>
      <c r="H37" s="11" t="s">
        <v>1162</v>
      </c>
      <c r="I37" s="11" t="s">
        <v>1163</v>
      </c>
      <c r="J37" s="13"/>
      <c r="K37" s="13" t="s">
        <v>35</v>
      </c>
      <c r="L37" s="13"/>
      <c r="M37" s="13"/>
      <c r="N37" s="13"/>
    </row>
    <row r="38" spans="1:14" x14ac:dyDescent="0.3">
      <c r="A38" s="11">
        <v>34</v>
      </c>
      <c r="B38" s="12" t="s">
        <v>1164</v>
      </c>
      <c r="C38" s="11" t="s">
        <v>1165</v>
      </c>
      <c r="D38" s="11" t="s">
        <v>100</v>
      </c>
      <c r="E38" s="11" t="s">
        <v>132</v>
      </c>
      <c r="F38" s="11" t="s">
        <v>67</v>
      </c>
      <c r="G38" s="11" t="s">
        <v>1166</v>
      </c>
      <c r="H38" s="11" t="s">
        <v>1167</v>
      </c>
      <c r="I38" s="11" t="s">
        <v>1168</v>
      </c>
      <c r="J38" s="13"/>
      <c r="K38" s="13" t="s">
        <v>35</v>
      </c>
      <c r="L38" s="13"/>
      <c r="M38" s="13"/>
      <c r="N38" s="13"/>
    </row>
    <row r="39" spans="1:14" ht="26.4" x14ac:dyDescent="0.3">
      <c r="A39" s="11">
        <v>35</v>
      </c>
      <c r="B39" s="12" t="s">
        <v>1169</v>
      </c>
      <c r="C39" s="11" t="s">
        <v>1170</v>
      </c>
      <c r="D39" s="11" t="s">
        <v>95</v>
      </c>
      <c r="E39" s="11" t="s">
        <v>115</v>
      </c>
      <c r="F39" s="11" t="s">
        <v>67</v>
      </c>
      <c r="G39" s="11" t="s">
        <v>1171</v>
      </c>
      <c r="H39" s="11" t="s">
        <v>1172</v>
      </c>
      <c r="I39" s="11" t="s">
        <v>1173</v>
      </c>
      <c r="J39" s="13"/>
      <c r="K39" s="13" t="s">
        <v>35</v>
      </c>
      <c r="L39" s="13"/>
      <c r="M39" s="13"/>
      <c r="N39" s="13"/>
    </row>
    <row r="40" spans="1:14" ht="26.4" x14ac:dyDescent="0.3">
      <c r="A40" s="11">
        <v>36</v>
      </c>
      <c r="B40" s="12" t="s">
        <v>1174</v>
      </c>
      <c r="C40" s="11" t="s">
        <v>1175</v>
      </c>
      <c r="D40" s="11" t="s">
        <v>84</v>
      </c>
      <c r="E40" s="11" t="s">
        <v>132</v>
      </c>
      <c r="F40" s="11" t="s">
        <v>67</v>
      </c>
      <c r="G40" s="11" t="s">
        <v>1176</v>
      </c>
      <c r="H40" s="11" t="s">
        <v>1177</v>
      </c>
      <c r="I40" s="11" t="s">
        <v>1178</v>
      </c>
      <c r="J40" s="13"/>
      <c r="K40" s="13" t="s">
        <v>35</v>
      </c>
      <c r="L40" s="13"/>
      <c r="M40" s="13"/>
      <c r="N40" s="13"/>
    </row>
    <row r="41" spans="1:14" ht="26.4" x14ac:dyDescent="0.3">
      <c r="A41" s="11">
        <v>37</v>
      </c>
      <c r="B41" s="12" t="s">
        <v>1179</v>
      </c>
      <c r="C41" s="11" t="s">
        <v>1180</v>
      </c>
      <c r="D41" s="11" t="s">
        <v>100</v>
      </c>
      <c r="E41" s="11" t="s">
        <v>115</v>
      </c>
      <c r="F41" s="11" t="s">
        <v>67</v>
      </c>
      <c r="G41" s="11" t="s">
        <v>90</v>
      </c>
      <c r="H41" s="11" t="s">
        <v>1181</v>
      </c>
      <c r="I41" s="11" t="s">
        <v>1182</v>
      </c>
      <c r="J41" s="13"/>
      <c r="K41" s="13" t="s">
        <v>35</v>
      </c>
      <c r="L41" s="13"/>
      <c r="M41" s="13"/>
      <c r="N41" s="13"/>
    </row>
    <row r="42" spans="1:14" ht="26.4" x14ac:dyDescent="0.3">
      <c r="A42" s="11">
        <v>38</v>
      </c>
      <c r="B42" s="12" t="s">
        <v>1183</v>
      </c>
      <c r="C42" s="11" t="s">
        <v>1184</v>
      </c>
      <c r="D42" s="11" t="s">
        <v>100</v>
      </c>
      <c r="E42" s="11" t="s">
        <v>115</v>
      </c>
      <c r="F42" s="11" t="s">
        <v>67</v>
      </c>
      <c r="G42" s="11" t="s">
        <v>79</v>
      </c>
      <c r="H42" s="11" t="s">
        <v>1185</v>
      </c>
      <c r="I42" s="11" t="s">
        <v>1186</v>
      </c>
      <c r="J42" s="13"/>
      <c r="K42" s="13" t="s">
        <v>35</v>
      </c>
      <c r="L42" s="13"/>
      <c r="M42" s="13"/>
      <c r="N42" s="13"/>
    </row>
    <row r="43" spans="1:14" x14ac:dyDescent="0.3">
      <c r="A43" s="11">
        <v>39</v>
      </c>
      <c r="B43" s="12" t="s">
        <v>1187</v>
      </c>
      <c r="C43" s="11" t="s">
        <v>1188</v>
      </c>
      <c r="D43" s="11" t="s">
        <v>95</v>
      </c>
      <c r="E43" s="11" t="s">
        <v>115</v>
      </c>
      <c r="F43" s="11" t="s">
        <v>67</v>
      </c>
      <c r="G43" s="11" t="s">
        <v>1189</v>
      </c>
      <c r="H43" s="11" t="s">
        <v>1190</v>
      </c>
      <c r="I43" s="11" t="s">
        <v>1191</v>
      </c>
      <c r="J43" s="13"/>
      <c r="K43" s="13" t="s">
        <v>35</v>
      </c>
      <c r="L43" s="13"/>
      <c r="M43" s="13"/>
      <c r="N43" s="13"/>
    </row>
  </sheetData>
  <autoFilter ref="A4:N43" xr:uid="{00000000-0009-0000-0000-000009000000}"/>
  <conditionalFormatting sqref="K5:K43">
    <cfRule type="cellIs" dxfId="2" priority="1" operator="equal">
      <formula>"Pass"</formula>
    </cfRule>
    <cfRule type="cellIs" dxfId="1" priority="2" operator="equal">
      <formula>"Fail"</formula>
    </cfRule>
    <cfRule type="cellIs" dxfId="0" priority="3" operator="equal">
      <formula>"Blocked"</formula>
    </cfRule>
  </conditionalFormatting>
  <dataValidations count="1">
    <dataValidation type="list" sqref="K5:K43" xr:uid="{00000000-0002-0000-0900-000000000000}">
      <formula1>"Not Run,Pass,Fail,Blocked,N/A"</formula1>
    </dataValidation>
  </dataValidation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16"/>
  <sheetViews>
    <sheetView workbookViewId="0">
      <pane xSplit="2" ySplit="1" topLeftCell="C2" activePane="bottomRight" state="frozen"/>
      <selection pane="topRight"/>
      <selection pane="bottomLeft"/>
      <selection pane="bottomRight"/>
    </sheetView>
  </sheetViews>
  <sheetFormatPr defaultRowHeight="14.4" x14ac:dyDescent="0.3"/>
  <cols>
    <col min="1" max="1" width="6" customWidth="1"/>
    <col min="2" max="2" width="22" customWidth="1"/>
    <col min="3" max="3" width="38" customWidth="1"/>
    <col min="4" max="4" width="70" customWidth="1"/>
    <col min="5" max="5" width="40" customWidth="1"/>
    <col min="6" max="7" width="14" customWidth="1"/>
    <col min="8" max="8" width="30" customWidth="1"/>
  </cols>
  <sheetData>
    <row r="1" spans="1:8" ht="30" customHeight="1" x14ac:dyDescent="0.3">
      <c r="A1" s="6" t="s">
        <v>1192</v>
      </c>
      <c r="B1" s="6" t="s">
        <v>1193</v>
      </c>
      <c r="C1" s="6" t="s">
        <v>1194</v>
      </c>
      <c r="D1" s="6" t="s">
        <v>1195</v>
      </c>
      <c r="E1" s="6" t="s">
        <v>1196</v>
      </c>
      <c r="F1" s="6" t="s">
        <v>1197</v>
      </c>
      <c r="G1" s="6" t="s">
        <v>1198</v>
      </c>
      <c r="H1" s="6" t="s">
        <v>1199</v>
      </c>
    </row>
    <row r="2" spans="1:8" ht="39.6" x14ac:dyDescent="0.3">
      <c r="A2" s="12" t="s">
        <v>1200</v>
      </c>
      <c r="B2" s="11" t="s">
        <v>1201</v>
      </c>
      <c r="C2" s="11" t="s">
        <v>1202</v>
      </c>
      <c r="D2" s="11" t="s">
        <v>1203</v>
      </c>
      <c r="E2" s="11" t="s">
        <v>1204</v>
      </c>
      <c r="F2" s="11" t="s">
        <v>146</v>
      </c>
      <c r="G2" s="13"/>
      <c r="H2" s="13"/>
    </row>
    <row r="3" spans="1:8" ht="39.6" x14ac:dyDescent="0.3">
      <c r="A3" s="12" t="s">
        <v>1205</v>
      </c>
      <c r="B3" s="11" t="s">
        <v>1206</v>
      </c>
      <c r="C3" s="11" t="s">
        <v>1207</v>
      </c>
      <c r="D3" s="11" t="s">
        <v>1208</v>
      </c>
      <c r="E3" s="11" t="s">
        <v>1209</v>
      </c>
      <c r="F3" s="11" t="s">
        <v>315</v>
      </c>
      <c r="G3" s="13"/>
      <c r="H3" s="13"/>
    </row>
    <row r="4" spans="1:8" ht="39.6" x14ac:dyDescent="0.3">
      <c r="A4" s="12" t="s">
        <v>1210</v>
      </c>
      <c r="B4" s="11" t="s">
        <v>1211</v>
      </c>
      <c r="C4" s="11" t="s">
        <v>1212</v>
      </c>
      <c r="D4" s="11" t="s">
        <v>1213</v>
      </c>
      <c r="E4" s="11" t="s">
        <v>1214</v>
      </c>
      <c r="F4" s="11" t="s">
        <v>398</v>
      </c>
      <c r="G4" s="13"/>
      <c r="H4" s="13"/>
    </row>
    <row r="5" spans="1:8" ht="26.4" x14ac:dyDescent="0.3">
      <c r="A5" s="12" t="s">
        <v>1215</v>
      </c>
      <c r="B5" s="11" t="s">
        <v>1201</v>
      </c>
      <c r="C5" s="11" t="s">
        <v>1216</v>
      </c>
      <c r="D5" s="11" t="s">
        <v>1217</v>
      </c>
      <c r="E5" s="11" t="s">
        <v>1218</v>
      </c>
      <c r="F5" s="11" t="s">
        <v>416</v>
      </c>
      <c r="G5" s="13"/>
      <c r="H5" s="13"/>
    </row>
    <row r="6" spans="1:8" ht="26.4" x14ac:dyDescent="0.3">
      <c r="A6" s="12" t="s">
        <v>1219</v>
      </c>
      <c r="B6" s="11" t="s">
        <v>1220</v>
      </c>
      <c r="C6" s="11" t="s">
        <v>1221</v>
      </c>
      <c r="D6" s="11" t="s">
        <v>1222</v>
      </c>
      <c r="E6" s="11" t="s">
        <v>1223</v>
      </c>
      <c r="F6" s="11" t="s">
        <v>386</v>
      </c>
      <c r="G6" s="13"/>
      <c r="H6" s="13"/>
    </row>
    <row r="7" spans="1:8" ht="26.4" x14ac:dyDescent="0.3">
      <c r="A7" s="12" t="s">
        <v>1224</v>
      </c>
      <c r="B7" s="11" t="s">
        <v>1201</v>
      </c>
      <c r="C7" s="11" t="s">
        <v>1225</v>
      </c>
      <c r="D7" s="11" t="s">
        <v>1226</v>
      </c>
      <c r="E7" s="11" t="s">
        <v>1227</v>
      </c>
      <c r="F7" s="11" t="s">
        <v>412</v>
      </c>
      <c r="G7" s="13"/>
      <c r="H7" s="13"/>
    </row>
    <row r="8" spans="1:8" ht="39.6" x14ac:dyDescent="0.3">
      <c r="A8" s="12" t="s">
        <v>1228</v>
      </c>
      <c r="B8" s="11" t="s">
        <v>1220</v>
      </c>
      <c r="C8" s="11" t="s">
        <v>1229</v>
      </c>
      <c r="D8" s="11" t="s">
        <v>1230</v>
      </c>
      <c r="E8" s="11" t="s">
        <v>1231</v>
      </c>
      <c r="F8" s="11" t="s">
        <v>79</v>
      </c>
      <c r="G8" s="13"/>
      <c r="H8" s="13"/>
    </row>
    <row r="9" spans="1:8" ht="39.6" x14ac:dyDescent="0.3">
      <c r="A9" s="12" t="s">
        <v>1232</v>
      </c>
      <c r="B9" s="11" t="s">
        <v>1220</v>
      </c>
      <c r="C9" s="11" t="s">
        <v>1233</v>
      </c>
      <c r="D9" s="11" t="s">
        <v>1234</v>
      </c>
      <c r="E9" s="11" t="s">
        <v>1235</v>
      </c>
      <c r="F9" s="11" t="s">
        <v>79</v>
      </c>
      <c r="G9" s="13"/>
      <c r="H9" s="13"/>
    </row>
    <row r="10" spans="1:8" ht="26.4" x14ac:dyDescent="0.3">
      <c r="A10" s="12" t="s">
        <v>1236</v>
      </c>
      <c r="B10" s="11" t="s">
        <v>1201</v>
      </c>
      <c r="C10" s="11" t="s">
        <v>1237</v>
      </c>
      <c r="D10" s="11" t="s">
        <v>1238</v>
      </c>
      <c r="E10" s="11" t="s">
        <v>1239</v>
      </c>
      <c r="F10" s="11" t="s">
        <v>79</v>
      </c>
      <c r="G10" s="13"/>
      <c r="H10" s="13"/>
    </row>
    <row r="11" spans="1:8" ht="39.6" x14ac:dyDescent="0.3">
      <c r="A11" s="12" t="s">
        <v>1240</v>
      </c>
      <c r="B11" s="11" t="s">
        <v>1241</v>
      </c>
      <c r="C11" s="11" t="s">
        <v>1242</v>
      </c>
      <c r="D11" s="11" t="s">
        <v>1243</v>
      </c>
      <c r="E11" s="11" t="s">
        <v>1244</v>
      </c>
      <c r="F11" s="11" t="s">
        <v>166</v>
      </c>
      <c r="G11" s="13"/>
      <c r="H11" s="13"/>
    </row>
    <row r="12" spans="1:8" ht="39.6" x14ac:dyDescent="0.3">
      <c r="A12" s="12" t="s">
        <v>1245</v>
      </c>
      <c r="B12" s="11" t="s">
        <v>1241</v>
      </c>
      <c r="C12" s="11" t="s">
        <v>1246</v>
      </c>
      <c r="D12" s="11" t="s">
        <v>1247</v>
      </c>
      <c r="E12" s="11" t="s">
        <v>1248</v>
      </c>
      <c r="F12" s="11" t="s">
        <v>79</v>
      </c>
      <c r="G12" s="13"/>
      <c r="H12" s="13"/>
    </row>
    <row r="13" spans="1:8" ht="26.4" x14ac:dyDescent="0.3">
      <c r="A13" s="12" t="s">
        <v>1249</v>
      </c>
      <c r="B13" s="11" t="s">
        <v>1241</v>
      </c>
      <c r="C13" s="11" t="s">
        <v>1250</v>
      </c>
      <c r="D13" s="11" t="s">
        <v>1251</v>
      </c>
      <c r="E13" s="11" t="s">
        <v>1252</v>
      </c>
      <c r="F13" s="11" t="s">
        <v>171</v>
      </c>
      <c r="G13" s="13"/>
      <c r="H13" s="13"/>
    </row>
    <row r="14" spans="1:8" ht="52.8" x14ac:dyDescent="0.3">
      <c r="A14" s="12" t="s">
        <v>1253</v>
      </c>
      <c r="B14" s="11" t="s">
        <v>1254</v>
      </c>
      <c r="C14" s="11" t="s">
        <v>1255</v>
      </c>
      <c r="D14" s="11" t="s">
        <v>1256</v>
      </c>
      <c r="E14" s="11" t="s">
        <v>1257</v>
      </c>
      <c r="F14" s="11" t="s">
        <v>151</v>
      </c>
      <c r="G14" s="13"/>
      <c r="H14" s="13"/>
    </row>
    <row r="16" spans="1:8" ht="45" customHeight="1" x14ac:dyDescent="0.3">
      <c r="B16" s="14" t="s">
        <v>1258</v>
      </c>
      <c r="C16" s="16" t="s">
        <v>1259</v>
      </c>
      <c r="D16" s="17"/>
      <c r="E16" s="17"/>
    </row>
  </sheetData>
  <mergeCells count="1">
    <mergeCell ref="C16:E16"/>
  </mergeCells>
  <dataValidations count="1">
    <dataValidation type="list" allowBlank="1" sqref="G2:G14" xr:uid="{00000000-0002-0000-0A00-000000000000}">
      <formula1>"Yes,No"</formula1>
    </dataValidation>
  </dataValidation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26"/>
  <sheetViews>
    <sheetView workbookViewId="0">
      <pane xSplit="2" ySplit="1" topLeftCell="C2" activePane="bottomRight" state="frozen"/>
      <selection pane="topRight"/>
      <selection pane="bottomLeft"/>
      <selection pane="bottomRight"/>
    </sheetView>
  </sheetViews>
  <sheetFormatPr defaultRowHeight="14.4" x14ac:dyDescent="0.3"/>
  <cols>
    <col min="1" max="1" width="6" customWidth="1"/>
    <col min="2" max="2" width="18" customWidth="1"/>
    <col min="3" max="3" width="40" customWidth="1"/>
    <col min="4" max="4" width="70" customWidth="1"/>
    <col min="5" max="5" width="44" customWidth="1"/>
    <col min="6" max="7" width="14" customWidth="1"/>
    <col min="8" max="8" width="30" customWidth="1"/>
  </cols>
  <sheetData>
    <row r="1" spans="1:8" ht="30" customHeight="1" x14ac:dyDescent="0.3">
      <c r="A1" s="6" t="s">
        <v>1192</v>
      </c>
      <c r="B1" s="6" t="s">
        <v>1260</v>
      </c>
      <c r="C1" s="6" t="s">
        <v>1261</v>
      </c>
      <c r="D1" s="6" t="s">
        <v>1262</v>
      </c>
      <c r="E1" s="6" t="s">
        <v>1263</v>
      </c>
      <c r="F1" s="6" t="s">
        <v>1197</v>
      </c>
      <c r="G1" s="6" t="s">
        <v>1198</v>
      </c>
      <c r="H1" s="6" t="s">
        <v>1199</v>
      </c>
    </row>
    <row r="2" spans="1:8" ht="39.6" x14ac:dyDescent="0.3">
      <c r="A2" s="12" t="s">
        <v>1264</v>
      </c>
      <c r="B2" s="11" t="s">
        <v>482</v>
      </c>
      <c r="C2" s="11" t="s">
        <v>1265</v>
      </c>
      <c r="D2" s="11" t="s">
        <v>1266</v>
      </c>
      <c r="E2" s="11" t="s">
        <v>1267</v>
      </c>
      <c r="F2" s="11" t="s">
        <v>513</v>
      </c>
      <c r="G2" s="13"/>
      <c r="H2" s="13"/>
    </row>
    <row r="3" spans="1:8" ht="26.4" x14ac:dyDescent="0.3">
      <c r="A3" s="12" t="s">
        <v>1268</v>
      </c>
      <c r="B3" s="11" t="s">
        <v>1269</v>
      </c>
      <c r="C3" s="11" t="s">
        <v>1270</v>
      </c>
      <c r="D3" s="11" t="s">
        <v>1271</v>
      </c>
      <c r="E3" s="11" t="s">
        <v>1272</v>
      </c>
      <c r="F3" s="11" t="s">
        <v>869</v>
      </c>
      <c r="G3" s="13"/>
      <c r="H3" s="13"/>
    </row>
    <row r="4" spans="1:8" x14ac:dyDescent="0.3">
      <c r="A4" s="12" t="s">
        <v>1273</v>
      </c>
      <c r="B4" s="11" t="s">
        <v>1269</v>
      </c>
      <c r="C4" s="11" t="s">
        <v>1274</v>
      </c>
      <c r="D4" s="11" t="s">
        <v>1275</v>
      </c>
      <c r="E4" s="11" t="s">
        <v>1276</v>
      </c>
      <c r="F4" s="11" t="s">
        <v>874</v>
      </c>
      <c r="G4" s="13"/>
      <c r="H4" s="13"/>
    </row>
    <row r="5" spans="1:8" x14ac:dyDescent="0.3">
      <c r="A5" s="12" t="s">
        <v>1277</v>
      </c>
      <c r="B5" s="11" t="s">
        <v>1269</v>
      </c>
      <c r="C5" s="11" t="s">
        <v>1278</v>
      </c>
      <c r="D5" s="11" t="s">
        <v>1279</v>
      </c>
      <c r="E5" s="11" t="s">
        <v>1280</v>
      </c>
      <c r="F5" s="11" t="s">
        <v>879</v>
      </c>
      <c r="G5" s="13"/>
      <c r="H5" s="13"/>
    </row>
    <row r="6" spans="1:8" ht="26.4" x14ac:dyDescent="0.3">
      <c r="A6" s="12" t="s">
        <v>1281</v>
      </c>
      <c r="B6" s="11" t="s">
        <v>1269</v>
      </c>
      <c r="C6" s="11" t="s">
        <v>1282</v>
      </c>
      <c r="D6" s="11" t="s">
        <v>1283</v>
      </c>
      <c r="E6" s="11" t="s">
        <v>1272</v>
      </c>
      <c r="F6" s="11" t="s">
        <v>747</v>
      </c>
      <c r="G6" s="13"/>
      <c r="H6" s="13"/>
    </row>
    <row r="7" spans="1:8" ht="26.4" x14ac:dyDescent="0.3">
      <c r="A7" s="12" t="s">
        <v>1284</v>
      </c>
      <c r="B7" s="11" t="s">
        <v>1269</v>
      </c>
      <c r="C7" s="11" t="s">
        <v>1285</v>
      </c>
      <c r="D7" s="11" t="s">
        <v>1286</v>
      </c>
      <c r="E7" s="11" t="s">
        <v>1287</v>
      </c>
      <c r="F7" s="11" t="s">
        <v>819</v>
      </c>
      <c r="G7" s="13"/>
      <c r="H7" s="13"/>
    </row>
    <row r="8" spans="1:8" ht="26.4" x14ac:dyDescent="0.3">
      <c r="A8" s="12" t="s">
        <v>1288</v>
      </c>
      <c r="B8" s="11" t="s">
        <v>1269</v>
      </c>
      <c r="C8" s="11" t="s">
        <v>1289</v>
      </c>
      <c r="D8" s="11" t="s">
        <v>1290</v>
      </c>
      <c r="E8" s="11" t="s">
        <v>1291</v>
      </c>
      <c r="F8" s="11" t="s">
        <v>829</v>
      </c>
      <c r="G8" s="13"/>
      <c r="H8" s="13"/>
    </row>
    <row r="9" spans="1:8" ht="26.4" x14ac:dyDescent="0.3">
      <c r="A9" s="12" t="s">
        <v>1292</v>
      </c>
      <c r="B9" s="11" t="s">
        <v>1269</v>
      </c>
      <c r="C9" s="11" t="s">
        <v>1293</v>
      </c>
      <c r="D9" s="11" t="s">
        <v>1294</v>
      </c>
      <c r="E9" s="11" t="s">
        <v>1295</v>
      </c>
      <c r="F9" s="11" t="s">
        <v>834</v>
      </c>
      <c r="G9" s="13"/>
      <c r="H9" s="13"/>
    </row>
    <row r="10" spans="1:8" ht="26.4" x14ac:dyDescent="0.3">
      <c r="A10" s="12" t="s">
        <v>1296</v>
      </c>
      <c r="B10" s="11" t="s">
        <v>1269</v>
      </c>
      <c r="C10" s="11" t="s">
        <v>1297</v>
      </c>
      <c r="D10" s="11" t="s">
        <v>1298</v>
      </c>
      <c r="E10" s="11" t="s">
        <v>1299</v>
      </c>
      <c r="F10" s="11" t="s">
        <v>884</v>
      </c>
      <c r="G10" s="13"/>
      <c r="H10" s="13"/>
    </row>
    <row r="11" spans="1:8" ht="26.4" x14ac:dyDescent="0.3">
      <c r="A11" s="12" t="s">
        <v>1300</v>
      </c>
      <c r="B11" s="11" t="s">
        <v>1269</v>
      </c>
      <c r="C11" s="11" t="s">
        <v>1301</v>
      </c>
      <c r="D11" s="11" t="s">
        <v>1302</v>
      </c>
      <c r="E11" s="11" t="s">
        <v>1303</v>
      </c>
      <c r="F11" s="11" t="s">
        <v>767</v>
      </c>
      <c r="G11" s="13"/>
      <c r="H11" s="13"/>
    </row>
    <row r="12" spans="1:8" ht="26.4" x14ac:dyDescent="0.3">
      <c r="A12" s="12" t="s">
        <v>1304</v>
      </c>
      <c r="B12" s="11" t="s">
        <v>1269</v>
      </c>
      <c r="C12" s="11" t="s">
        <v>1305</v>
      </c>
      <c r="D12" s="11" t="s">
        <v>1306</v>
      </c>
      <c r="E12" s="11" t="s">
        <v>1307</v>
      </c>
      <c r="F12" s="11" t="s">
        <v>770</v>
      </c>
      <c r="G12" s="13"/>
      <c r="H12" s="13"/>
    </row>
    <row r="13" spans="1:8" ht="26.4" x14ac:dyDescent="0.3">
      <c r="A13" s="12" t="s">
        <v>1308</v>
      </c>
      <c r="B13" s="11" t="s">
        <v>1269</v>
      </c>
      <c r="C13" s="11" t="s">
        <v>1309</v>
      </c>
      <c r="D13" s="11" t="s">
        <v>1310</v>
      </c>
      <c r="E13" s="11" t="s">
        <v>1311</v>
      </c>
      <c r="F13" s="11" t="s">
        <v>1039</v>
      </c>
      <c r="G13" s="13"/>
      <c r="H13" s="13"/>
    </row>
    <row r="14" spans="1:8" ht="26.4" x14ac:dyDescent="0.3">
      <c r="A14" s="12" t="s">
        <v>1312</v>
      </c>
      <c r="B14" s="11" t="s">
        <v>570</v>
      </c>
      <c r="C14" s="11" t="s">
        <v>1313</v>
      </c>
      <c r="D14" s="11" t="s">
        <v>1314</v>
      </c>
      <c r="E14" s="11" t="s">
        <v>1315</v>
      </c>
      <c r="F14" s="11" t="s">
        <v>630</v>
      </c>
      <c r="G14" s="13"/>
      <c r="H14" s="13"/>
    </row>
    <row r="15" spans="1:8" x14ac:dyDescent="0.3">
      <c r="A15" s="12" t="s">
        <v>1316</v>
      </c>
      <c r="B15" s="11" t="s">
        <v>570</v>
      </c>
      <c r="C15" s="11" t="s">
        <v>1317</v>
      </c>
      <c r="D15" s="11" t="s">
        <v>1318</v>
      </c>
      <c r="E15" s="11" t="s">
        <v>1319</v>
      </c>
      <c r="F15" s="11" t="s">
        <v>663</v>
      </c>
      <c r="G15" s="13"/>
      <c r="H15" s="13"/>
    </row>
    <row r="16" spans="1:8" x14ac:dyDescent="0.3">
      <c r="A16" s="12" t="s">
        <v>1320</v>
      </c>
      <c r="B16" s="11" t="s">
        <v>570</v>
      </c>
      <c r="C16" s="11" t="s">
        <v>1321</v>
      </c>
      <c r="D16" s="11" t="s">
        <v>1322</v>
      </c>
      <c r="E16" s="11" t="s">
        <v>1323</v>
      </c>
      <c r="F16" s="11" t="s">
        <v>696</v>
      </c>
      <c r="G16" s="13"/>
      <c r="H16" s="13"/>
    </row>
    <row r="17" spans="1:8" ht="26.4" x14ac:dyDescent="0.3">
      <c r="A17" s="12" t="s">
        <v>1324</v>
      </c>
      <c r="B17" s="11" t="s">
        <v>1325</v>
      </c>
      <c r="C17" s="11" t="s">
        <v>1326</v>
      </c>
      <c r="D17" s="11" t="s">
        <v>1327</v>
      </c>
      <c r="E17" s="11" t="s">
        <v>1328</v>
      </c>
      <c r="F17" s="11" t="s">
        <v>398</v>
      </c>
      <c r="G17" s="13"/>
      <c r="H17" s="13"/>
    </row>
    <row r="18" spans="1:8" ht="26.4" x14ac:dyDescent="0.3">
      <c r="A18" s="12" t="s">
        <v>1329</v>
      </c>
      <c r="B18" s="11" t="s">
        <v>185</v>
      </c>
      <c r="C18" s="11" t="s">
        <v>1330</v>
      </c>
      <c r="D18" s="11" t="s">
        <v>1331</v>
      </c>
      <c r="E18" s="11" t="s">
        <v>1332</v>
      </c>
      <c r="F18" s="11" t="s">
        <v>196</v>
      </c>
      <c r="G18" s="13"/>
      <c r="H18" s="13"/>
    </row>
    <row r="19" spans="1:8" ht="26.4" x14ac:dyDescent="0.3">
      <c r="A19" s="12" t="s">
        <v>1333</v>
      </c>
      <c r="B19" s="11" t="s">
        <v>185</v>
      </c>
      <c r="C19" s="11" t="s">
        <v>1334</v>
      </c>
      <c r="D19" s="11" t="s">
        <v>1335</v>
      </c>
      <c r="E19" s="11" t="s">
        <v>1336</v>
      </c>
      <c r="F19" s="11" t="s">
        <v>281</v>
      </c>
      <c r="G19" s="13"/>
      <c r="H19" s="13"/>
    </row>
    <row r="20" spans="1:8" ht="26.4" x14ac:dyDescent="0.3">
      <c r="A20" s="12" t="s">
        <v>1337</v>
      </c>
      <c r="B20" s="11" t="s">
        <v>1338</v>
      </c>
      <c r="C20" s="11" t="s">
        <v>1339</v>
      </c>
      <c r="D20" s="11" t="s">
        <v>1340</v>
      </c>
      <c r="E20" s="11" t="s">
        <v>1341</v>
      </c>
      <c r="F20" s="11" t="s">
        <v>913</v>
      </c>
      <c r="G20" s="13"/>
      <c r="H20" s="13"/>
    </row>
    <row r="21" spans="1:8" ht="26.4" x14ac:dyDescent="0.3">
      <c r="A21" s="12" t="s">
        <v>1342</v>
      </c>
      <c r="B21" s="11" t="s">
        <v>1343</v>
      </c>
      <c r="C21" s="11" t="s">
        <v>1344</v>
      </c>
      <c r="D21" s="11" t="s">
        <v>1345</v>
      </c>
      <c r="E21" s="11" t="s">
        <v>1346</v>
      </c>
      <c r="F21" s="11" t="s">
        <v>1029</v>
      </c>
      <c r="G21" s="13"/>
      <c r="H21" s="13"/>
    </row>
    <row r="22" spans="1:8" x14ac:dyDescent="0.3">
      <c r="A22" s="12" t="s">
        <v>1347</v>
      </c>
      <c r="B22" s="11" t="s">
        <v>1343</v>
      </c>
      <c r="C22" s="11" t="s">
        <v>1348</v>
      </c>
      <c r="D22" s="11" t="s">
        <v>1349</v>
      </c>
      <c r="E22" s="11" t="s">
        <v>1350</v>
      </c>
      <c r="F22" s="11" t="s">
        <v>1015</v>
      </c>
      <c r="G22" s="13"/>
      <c r="H22" s="13"/>
    </row>
    <row r="23" spans="1:8" ht="39.6" x14ac:dyDescent="0.3">
      <c r="A23" s="12" t="s">
        <v>1351</v>
      </c>
      <c r="B23" s="11" t="s">
        <v>1352</v>
      </c>
      <c r="C23" s="11" t="s">
        <v>1353</v>
      </c>
      <c r="D23" s="11" t="s">
        <v>1354</v>
      </c>
      <c r="E23" s="11" t="s">
        <v>1355</v>
      </c>
      <c r="F23" s="11" t="s">
        <v>1096</v>
      </c>
      <c r="G23" s="13"/>
      <c r="H23" s="13"/>
    </row>
    <row r="24" spans="1:8" ht="26.4" x14ac:dyDescent="0.3">
      <c r="A24" s="12" t="s">
        <v>1356</v>
      </c>
      <c r="B24" s="11" t="s">
        <v>1352</v>
      </c>
      <c r="C24" s="11" t="s">
        <v>1357</v>
      </c>
      <c r="D24" s="11" t="s">
        <v>1358</v>
      </c>
      <c r="E24" s="11" t="s">
        <v>1359</v>
      </c>
      <c r="F24" s="11" t="s">
        <v>1101</v>
      </c>
      <c r="G24" s="13"/>
      <c r="H24" s="13"/>
    </row>
    <row r="26" spans="1:8" ht="45" customHeight="1" x14ac:dyDescent="0.3">
      <c r="B26" s="14" t="s">
        <v>1258</v>
      </c>
      <c r="C26" s="16" t="s">
        <v>1360</v>
      </c>
      <c r="D26" s="17"/>
      <c r="E26" s="17"/>
    </row>
  </sheetData>
  <mergeCells count="1">
    <mergeCell ref="C26:E26"/>
  </mergeCells>
  <dataValidations count="1">
    <dataValidation type="list" allowBlank="1" sqref="G2:G24" xr:uid="{00000000-0002-0000-0B00-000000000000}">
      <formula1>"Yes,No"</formula1>
    </dataValidation>
  </dataValidation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61"/>
  <sheetViews>
    <sheetView workbookViewId="0">
      <pane ySplit="1" topLeftCell="A2" activePane="bottomLeft" state="frozen"/>
      <selection pane="bottomLeft"/>
    </sheetView>
  </sheetViews>
  <sheetFormatPr defaultRowHeight="14.4" x14ac:dyDescent="0.3"/>
  <cols>
    <col min="1" max="1" width="9" customWidth="1"/>
    <col min="2" max="2" width="13" customWidth="1"/>
    <col min="3" max="3" width="12" customWidth="1"/>
    <col min="4" max="4" width="20" customWidth="1"/>
    <col min="5" max="5" width="34" customWidth="1"/>
    <col min="6" max="6" width="44" customWidth="1"/>
    <col min="7" max="8" width="34" customWidth="1"/>
    <col min="9" max="10" width="11" customWidth="1"/>
    <col min="11" max="11" width="28" customWidth="1"/>
    <col min="12" max="12" width="18" customWidth="1"/>
  </cols>
  <sheetData>
    <row r="1" spans="1:12" ht="30" customHeight="1" x14ac:dyDescent="0.3">
      <c r="A1" s="6" t="s">
        <v>1361</v>
      </c>
      <c r="B1" s="6" t="s">
        <v>1362</v>
      </c>
      <c r="C1" s="6" t="s">
        <v>1363</v>
      </c>
      <c r="D1" s="6" t="s">
        <v>1364</v>
      </c>
      <c r="E1" s="6" t="s">
        <v>1365</v>
      </c>
      <c r="F1" s="6" t="s">
        <v>1366</v>
      </c>
      <c r="G1" s="6" t="s">
        <v>1367</v>
      </c>
      <c r="H1" s="6" t="s">
        <v>1368</v>
      </c>
      <c r="I1" s="6" t="s">
        <v>1369</v>
      </c>
      <c r="J1" s="6" t="s">
        <v>59</v>
      </c>
      <c r="K1" s="6" t="s">
        <v>1370</v>
      </c>
      <c r="L1" s="6" t="s">
        <v>1371</v>
      </c>
    </row>
    <row r="2" spans="1:12" ht="39.6" x14ac:dyDescent="0.3">
      <c r="A2" s="15" t="s">
        <v>1372</v>
      </c>
      <c r="B2" s="15" t="s">
        <v>1373</v>
      </c>
      <c r="C2" s="15" t="s">
        <v>513</v>
      </c>
      <c r="D2" s="15" t="s">
        <v>482</v>
      </c>
      <c r="E2" s="15" t="s">
        <v>1374</v>
      </c>
      <c r="F2" s="15" t="s">
        <v>1375</v>
      </c>
      <c r="G2" s="15" t="s">
        <v>1376</v>
      </c>
      <c r="H2" s="15" t="s">
        <v>1377</v>
      </c>
      <c r="I2" s="15" t="s">
        <v>66</v>
      </c>
      <c r="J2" s="15" t="s">
        <v>1378</v>
      </c>
      <c r="K2" s="15" t="s">
        <v>1379</v>
      </c>
      <c r="L2" s="15"/>
    </row>
    <row r="3" spans="1:12" x14ac:dyDescent="0.3">
      <c r="A3" s="13"/>
      <c r="B3" s="13"/>
      <c r="C3" s="13"/>
      <c r="D3" s="13"/>
      <c r="E3" s="13"/>
      <c r="F3" s="13"/>
      <c r="G3" s="13"/>
      <c r="H3" s="13"/>
      <c r="I3" s="13"/>
      <c r="J3" s="13"/>
      <c r="K3" s="13"/>
      <c r="L3" s="13"/>
    </row>
    <row r="4" spans="1:12" x14ac:dyDescent="0.3">
      <c r="A4" s="13"/>
      <c r="B4" s="13"/>
      <c r="C4" s="13"/>
      <c r="D4" s="13"/>
      <c r="E4" s="13"/>
      <c r="F4" s="13"/>
      <c r="G4" s="13"/>
      <c r="H4" s="13"/>
      <c r="I4" s="13"/>
      <c r="J4" s="13"/>
      <c r="K4" s="13"/>
      <c r="L4" s="13"/>
    </row>
    <row r="5" spans="1:12" x14ac:dyDescent="0.3">
      <c r="A5" s="13"/>
      <c r="B5" s="13"/>
      <c r="C5" s="13"/>
      <c r="D5" s="13"/>
      <c r="E5" s="13"/>
      <c r="F5" s="13"/>
      <c r="G5" s="13"/>
      <c r="H5" s="13"/>
      <c r="I5" s="13"/>
      <c r="J5" s="13"/>
      <c r="K5" s="13"/>
      <c r="L5" s="13"/>
    </row>
    <row r="6" spans="1:12" x14ac:dyDescent="0.3">
      <c r="A6" s="13"/>
      <c r="B6" s="13"/>
      <c r="C6" s="13"/>
      <c r="D6" s="13"/>
      <c r="E6" s="13"/>
      <c r="F6" s="13"/>
      <c r="G6" s="13"/>
      <c r="H6" s="13"/>
      <c r="I6" s="13"/>
      <c r="J6" s="13"/>
      <c r="K6" s="13"/>
      <c r="L6" s="13"/>
    </row>
    <row r="7" spans="1:12" x14ac:dyDescent="0.3">
      <c r="A7" s="13"/>
      <c r="B7" s="13"/>
      <c r="C7" s="13"/>
      <c r="D7" s="13"/>
      <c r="E7" s="13"/>
      <c r="F7" s="13"/>
      <c r="G7" s="13"/>
      <c r="H7" s="13"/>
      <c r="I7" s="13"/>
      <c r="J7" s="13"/>
      <c r="K7" s="13"/>
      <c r="L7" s="13"/>
    </row>
    <row r="8" spans="1:12" x14ac:dyDescent="0.3">
      <c r="A8" s="13"/>
      <c r="B8" s="13"/>
      <c r="C8" s="13"/>
      <c r="D8" s="13"/>
      <c r="E8" s="13"/>
      <c r="F8" s="13"/>
      <c r="G8" s="13"/>
      <c r="H8" s="13"/>
      <c r="I8" s="13"/>
      <c r="J8" s="13"/>
      <c r="K8" s="13"/>
      <c r="L8" s="13"/>
    </row>
    <row r="9" spans="1:12" x14ac:dyDescent="0.3">
      <c r="A9" s="13"/>
      <c r="B9" s="13"/>
      <c r="C9" s="13"/>
      <c r="D9" s="13"/>
      <c r="E9" s="13"/>
      <c r="F9" s="13"/>
      <c r="G9" s="13"/>
      <c r="H9" s="13"/>
      <c r="I9" s="13"/>
      <c r="J9" s="13"/>
      <c r="K9" s="13"/>
      <c r="L9" s="13"/>
    </row>
    <row r="10" spans="1:12" x14ac:dyDescent="0.3">
      <c r="A10" s="13"/>
      <c r="B10" s="13"/>
      <c r="C10" s="13"/>
      <c r="D10" s="13"/>
      <c r="E10" s="13"/>
      <c r="F10" s="13"/>
      <c r="G10" s="13"/>
      <c r="H10" s="13"/>
      <c r="I10" s="13"/>
      <c r="J10" s="13"/>
      <c r="K10" s="13"/>
      <c r="L10" s="13"/>
    </row>
    <row r="11" spans="1:12" x14ac:dyDescent="0.3">
      <c r="A11" s="13"/>
      <c r="B11" s="13"/>
      <c r="C11" s="13"/>
      <c r="D11" s="13"/>
      <c r="E11" s="13"/>
      <c r="F11" s="13"/>
      <c r="G11" s="13"/>
      <c r="H11" s="13"/>
      <c r="I11" s="13"/>
      <c r="J11" s="13"/>
      <c r="K11" s="13"/>
      <c r="L11" s="13"/>
    </row>
    <row r="12" spans="1:12" x14ac:dyDescent="0.3">
      <c r="A12" s="13"/>
      <c r="B12" s="13"/>
      <c r="C12" s="13"/>
      <c r="D12" s="13"/>
      <c r="E12" s="13"/>
      <c r="F12" s="13"/>
      <c r="G12" s="13"/>
      <c r="H12" s="13"/>
      <c r="I12" s="13"/>
      <c r="J12" s="13"/>
      <c r="K12" s="13"/>
      <c r="L12" s="13"/>
    </row>
    <row r="13" spans="1:12" x14ac:dyDescent="0.3">
      <c r="A13" s="13"/>
      <c r="B13" s="13"/>
      <c r="C13" s="13"/>
      <c r="D13" s="13"/>
      <c r="E13" s="13"/>
      <c r="F13" s="13"/>
      <c r="G13" s="13"/>
      <c r="H13" s="13"/>
      <c r="I13" s="13"/>
      <c r="J13" s="13"/>
      <c r="K13" s="13"/>
      <c r="L13" s="13"/>
    </row>
    <row r="14" spans="1:12" x14ac:dyDescent="0.3">
      <c r="A14" s="13"/>
      <c r="B14" s="13"/>
      <c r="C14" s="13"/>
      <c r="D14" s="13"/>
      <c r="E14" s="13"/>
      <c r="F14" s="13"/>
      <c r="G14" s="13"/>
      <c r="H14" s="13"/>
      <c r="I14" s="13"/>
      <c r="J14" s="13"/>
      <c r="K14" s="13"/>
      <c r="L14" s="13"/>
    </row>
    <row r="15" spans="1:12" x14ac:dyDescent="0.3">
      <c r="A15" s="13"/>
      <c r="B15" s="13"/>
      <c r="C15" s="13"/>
      <c r="D15" s="13"/>
      <c r="E15" s="13"/>
      <c r="F15" s="13"/>
      <c r="G15" s="13"/>
      <c r="H15" s="13"/>
      <c r="I15" s="13"/>
      <c r="J15" s="13"/>
      <c r="K15" s="13"/>
      <c r="L15" s="13"/>
    </row>
    <row r="16" spans="1:12" x14ac:dyDescent="0.3">
      <c r="A16" s="13"/>
      <c r="B16" s="13"/>
      <c r="C16" s="13"/>
      <c r="D16" s="13"/>
      <c r="E16" s="13"/>
      <c r="F16" s="13"/>
      <c r="G16" s="13"/>
      <c r="H16" s="13"/>
      <c r="I16" s="13"/>
      <c r="J16" s="13"/>
      <c r="K16" s="13"/>
      <c r="L16" s="13"/>
    </row>
    <row r="17" spans="1:12" x14ac:dyDescent="0.3">
      <c r="A17" s="13"/>
      <c r="B17" s="13"/>
      <c r="C17" s="13"/>
      <c r="D17" s="13"/>
      <c r="E17" s="13"/>
      <c r="F17" s="13"/>
      <c r="G17" s="13"/>
      <c r="H17" s="13"/>
      <c r="I17" s="13"/>
      <c r="J17" s="13"/>
      <c r="K17" s="13"/>
      <c r="L17" s="13"/>
    </row>
    <row r="18" spans="1:12" x14ac:dyDescent="0.3">
      <c r="A18" s="13"/>
      <c r="B18" s="13"/>
      <c r="C18" s="13"/>
      <c r="D18" s="13"/>
      <c r="E18" s="13"/>
      <c r="F18" s="13"/>
      <c r="G18" s="13"/>
      <c r="H18" s="13"/>
      <c r="I18" s="13"/>
      <c r="J18" s="13"/>
      <c r="K18" s="13"/>
      <c r="L18" s="13"/>
    </row>
    <row r="19" spans="1:12" x14ac:dyDescent="0.3">
      <c r="A19" s="13"/>
      <c r="B19" s="13"/>
      <c r="C19" s="13"/>
      <c r="D19" s="13"/>
      <c r="E19" s="13"/>
      <c r="F19" s="13"/>
      <c r="G19" s="13"/>
      <c r="H19" s="13"/>
      <c r="I19" s="13"/>
      <c r="J19" s="13"/>
      <c r="K19" s="13"/>
      <c r="L19" s="13"/>
    </row>
    <row r="20" spans="1:12" x14ac:dyDescent="0.3">
      <c r="A20" s="13"/>
      <c r="B20" s="13"/>
      <c r="C20" s="13"/>
      <c r="D20" s="13"/>
      <c r="E20" s="13"/>
      <c r="F20" s="13"/>
      <c r="G20" s="13"/>
      <c r="H20" s="13"/>
      <c r="I20" s="13"/>
      <c r="J20" s="13"/>
      <c r="K20" s="13"/>
      <c r="L20" s="13"/>
    </row>
    <row r="21" spans="1:12" x14ac:dyDescent="0.3">
      <c r="A21" s="13"/>
      <c r="B21" s="13"/>
      <c r="C21" s="13"/>
      <c r="D21" s="13"/>
      <c r="E21" s="13"/>
      <c r="F21" s="13"/>
      <c r="G21" s="13"/>
      <c r="H21" s="13"/>
      <c r="I21" s="13"/>
      <c r="J21" s="13"/>
      <c r="K21" s="13"/>
      <c r="L21" s="13"/>
    </row>
    <row r="22" spans="1:12" x14ac:dyDescent="0.3">
      <c r="A22" s="13"/>
      <c r="B22" s="13"/>
      <c r="C22" s="13"/>
      <c r="D22" s="13"/>
      <c r="E22" s="13"/>
      <c r="F22" s="13"/>
      <c r="G22" s="13"/>
      <c r="H22" s="13"/>
      <c r="I22" s="13"/>
      <c r="J22" s="13"/>
      <c r="K22" s="13"/>
      <c r="L22" s="13"/>
    </row>
    <row r="23" spans="1:12" x14ac:dyDescent="0.3">
      <c r="A23" s="13"/>
      <c r="B23" s="13"/>
      <c r="C23" s="13"/>
      <c r="D23" s="13"/>
      <c r="E23" s="13"/>
      <c r="F23" s="13"/>
      <c r="G23" s="13"/>
      <c r="H23" s="13"/>
      <c r="I23" s="13"/>
      <c r="J23" s="13"/>
      <c r="K23" s="13"/>
      <c r="L23" s="13"/>
    </row>
    <row r="24" spans="1:12" x14ac:dyDescent="0.3">
      <c r="A24" s="13"/>
      <c r="B24" s="13"/>
      <c r="C24" s="13"/>
      <c r="D24" s="13"/>
      <c r="E24" s="13"/>
      <c r="F24" s="13"/>
      <c r="G24" s="13"/>
      <c r="H24" s="13"/>
      <c r="I24" s="13"/>
      <c r="J24" s="13"/>
      <c r="K24" s="13"/>
      <c r="L24" s="13"/>
    </row>
    <row r="25" spans="1:12" x14ac:dyDescent="0.3">
      <c r="A25" s="13"/>
      <c r="B25" s="13"/>
      <c r="C25" s="13"/>
      <c r="D25" s="13"/>
      <c r="E25" s="13"/>
      <c r="F25" s="13"/>
      <c r="G25" s="13"/>
      <c r="H25" s="13"/>
      <c r="I25" s="13"/>
      <c r="J25" s="13"/>
      <c r="K25" s="13"/>
      <c r="L25" s="13"/>
    </row>
    <row r="26" spans="1:12" x14ac:dyDescent="0.3">
      <c r="A26" s="13"/>
      <c r="B26" s="13"/>
      <c r="C26" s="13"/>
      <c r="D26" s="13"/>
      <c r="E26" s="13"/>
      <c r="F26" s="13"/>
      <c r="G26" s="13"/>
      <c r="H26" s="13"/>
      <c r="I26" s="13"/>
      <c r="J26" s="13"/>
      <c r="K26" s="13"/>
      <c r="L26" s="13"/>
    </row>
    <row r="27" spans="1:12" x14ac:dyDescent="0.3">
      <c r="A27" s="13"/>
      <c r="B27" s="13"/>
      <c r="C27" s="13"/>
      <c r="D27" s="13"/>
      <c r="E27" s="13"/>
      <c r="F27" s="13"/>
      <c r="G27" s="13"/>
      <c r="H27" s="13"/>
      <c r="I27" s="13"/>
      <c r="J27" s="13"/>
      <c r="K27" s="13"/>
      <c r="L27" s="13"/>
    </row>
    <row r="28" spans="1:12" x14ac:dyDescent="0.3">
      <c r="A28" s="13"/>
      <c r="B28" s="13"/>
      <c r="C28" s="13"/>
      <c r="D28" s="13"/>
      <c r="E28" s="13"/>
      <c r="F28" s="13"/>
      <c r="G28" s="13"/>
      <c r="H28" s="13"/>
      <c r="I28" s="13"/>
      <c r="J28" s="13"/>
      <c r="K28" s="13"/>
      <c r="L28" s="13"/>
    </row>
    <row r="29" spans="1:12" x14ac:dyDescent="0.3">
      <c r="A29" s="13"/>
      <c r="B29" s="13"/>
      <c r="C29" s="13"/>
      <c r="D29" s="13"/>
      <c r="E29" s="13"/>
      <c r="F29" s="13"/>
      <c r="G29" s="13"/>
      <c r="H29" s="13"/>
      <c r="I29" s="13"/>
      <c r="J29" s="13"/>
      <c r="K29" s="13"/>
      <c r="L29" s="13"/>
    </row>
    <row r="30" spans="1:12" x14ac:dyDescent="0.3">
      <c r="A30" s="13"/>
      <c r="B30" s="13"/>
      <c r="C30" s="13"/>
      <c r="D30" s="13"/>
      <c r="E30" s="13"/>
      <c r="F30" s="13"/>
      <c r="G30" s="13"/>
      <c r="H30" s="13"/>
      <c r="I30" s="13"/>
      <c r="J30" s="13"/>
      <c r="K30" s="13"/>
      <c r="L30" s="13"/>
    </row>
    <row r="31" spans="1:12" x14ac:dyDescent="0.3">
      <c r="A31" s="13"/>
      <c r="B31" s="13"/>
      <c r="C31" s="13"/>
      <c r="D31" s="13"/>
      <c r="E31" s="13"/>
      <c r="F31" s="13"/>
      <c r="G31" s="13"/>
      <c r="H31" s="13"/>
      <c r="I31" s="13"/>
      <c r="J31" s="13"/>
      <c r="K31" s="13"/>
      <c r="L31" s="13"/>
    </row>
    <row r="32" spans="1:12" x14ac:dyDescent="0.3">
      <c r="A32" s="13"/>
      <c r="B32" s="13"/>
      <c r="C32" s="13"/>
      <c r="D32" s="13"/>
      <c r="E32" s="13"/>
      <c r="F32" s="13"/>
      <c r="G32" s="13"/>
      <c r="H32" s="13"/>
      <c r="I32" s="13"/>
      <c r="J32" s="13"/>
      <c r="K32" s="13"/>
      <c r="L32" s="13"/>
    </row>
    <row r="33" spans="1:12" x14ac:dyDescent="0.3">
      <c r="A33" s="13"/>
      <c r="B33" s="13"/>
      <c r="C33" s="13"/>
      <c r="D33" s="13"/>
      <c r="E33" s="13"/>
      <c r="F33" s="13"/>
      <c r="G33" s="13"/>
      <c r="H33" s="13"/>
      <c r="I33" s="13"/>
      <c r="J33" s="13"/>
      <c r="K33" s="13"/>
      <c r="L33" s="13"/>
    </row>
    <row r="34" spans="1:12" x14ac:dyDescent="0.3">
      <c r="A34" s="13"/>
      <c r="B34" s="13"/>
      <c r="C34" s="13"/>
      <c r="D34" s="13"/>
      <c r="E34" s="13"/>
      <c r="F34" s="13"/>
      <c r="G34" s="13"/>
      <c r="H34" s="13"/>
      <c r="I34" s="13"/>
      <c r="J34" s="13"/>
      <c r="K34" s="13"/>
      <c r="L34" s="13"/>
    </row>
    <row r="35" spans="1:12" x14ac:dyDescent="0.3">
      <c r="A35" s="13"/>
      <c r="B35" s="13"/>
      <c r="C35" s="13"/>
      <c r="D35" s="13"/>
      <c r="E35" s="13"/>
      <c r="F35" s="13"/>
      <c r="G35" s="13"/>
      <c r="H35" s="13"/>
      <c r="I35" s="13"/>
      <c r="J35" s="13"/>
      <c r="K35" s="13"/>
      <c r="L35" s="13"/>
    </row>
    <row r="36" spans="1:12" x14ac:dyDescent="0.3">
      <c r="A36" s="13"/>
      <c r="B36" s="13"/>
      <c r="C36" s="13"/>
      <c r="D36" s="13"/>
      <c r="E36" s="13"/>
      <c r="F36" s="13"/>
      <c r="G36" s="13"/>
      <c r="H36" s="13"/>
      <c r="I36" s="13"/>
      <c r="J36" s="13"/>
      <c r="K36" s="13"/>
      <c r="L36" s="13"/>
    </row>
    <row r="37" spans="1:12" x14ac:dyDescent="0.3">
      <c r="A37" s="13"/>
      <c r="B37" s="13"/>
      <c r="C37" s="13"/>
      <c r="D37" s="13"/>
      <c r="E37" s="13"/>
      <c r="F37" s="13"/>
      <c r="G37" s="13"/>
      <c r="H37" s="13"/>
      <c r="I37" s="13"/>
      <c r="J37" s="13"/>
      <c r="K37" s="13"/>
      <c r="L37" s="13"/>
    </row>
    <row r="38" spans="1:12" x14ac:dyDescent="0.3">
      <c r="A38" s="13"/>
      <c r="B38" s="13"/>
      <c r="C38" s="13"/>
      <c r="D38" s="13"/>
      <c r="E38" s="13"/>
      <c r="F38" s="13"/>
      <c r="G38" s="13"/>
      <c r="H38" s="13"/>
      <c r="I38" s="13"/>
      <c r="J38" s="13"/>
      <c r="K38" s="13"/>
      <c r="L38" s="13"/>
    </row>
    <row r="39" spans="1:12" x14ac:dyDescent="0.3">
      <c r="A39" s="13"/>
      <c r="B39" s="13"/>
      <c r="C39" s="13"/>
      <c r="D39" s="13"/>
      <c r="E39" s="13"/>
      <c r="F39" s="13"/>
      <c r="G39" s="13"/>
      <c r="H39" s="13"/>
      <c r="I39" s="13"/>
      <c r="J39" s="13"/>
      <c r="K39" s="13"/>
      <c r="L39" s="13"/>
    </row>
    <row r="40" spans="1:12" x14ac:dyDescent="0.3">
      <c r="A40" s="13"/>
      <c r="B40" s="13"/>
      <c r="C40" s="13"/>
      <c r="D40" s="13"/>
      <c r="E40" s="13"/>
      <c r="F40" s="13"/>
      <c r="G40" s="13"/>
      <c r="H40" s="13"/>
      <c r="I40" s="13"/>
      <c r="J40" s="13"/>
      <c r="K40" s="13"/>
      <c r="L40" s="13"/>
    </row>
    <row r="41" spans="1:12" x14ac:dyDescent="0.3">
      <c r="A41" s="13"/>
      <c r="B41" s="13"/>
      <c r="C41" s="13"/>
      <c r="D41" s="13"/>
      <c r="E41" s="13"/>
      <c r="F41" s="13"/>
      <c r="G41" s="13"/>
      <c r="H41" s="13"/>
      <c r="I41" s="13"/>
      <c r="J41" s="13"/>
      <c r="K41" s="13"/>
      <c r="L41" s="13"/>
    </row>
    <row r="42" spans="1:12" x14ac:dyDescent="0.3">
      <c r="A42" s="13"/>
      <c r="B42" s="13"/>
      <c r="C42" s="13"/>
      <c r="D42" s="13"/>
      <c r="E42" s="13"/>
      <c r="F42" s="13"/>
      <c r="G42" s="13"/>
      <c r="H42" s="13"/>
      <c r="I42" s="13"/>
      <c r="J42" s="13"/>
      <c r="K42" s="13"/>
      <c r="L42" s="13"/>
    </row>
    <row r="43" spans="1:12" x14ac:dyDescent="0.3">
      <c r="A43" s="13"/>
      <c r="B43" s="13"/>
      <c r="C43" s="13"/>
      <c r="D43" s="13"/>
      <c r="E43" s="13"/>
      <c r="F43" s="13"/>
      <c r="G43" s="13"/>
      <c r="H43" s="13"/>
      <c r="I43" s="13"/>
      <c r="J43" s="13"/>
      <c r="K43" s="13"/>
      <c r="L43" s="13"/>
    </row>
    <row r="44" spans="1:12" x14ac:dyDescent="0.3">
      <c r="A44" s="13"/>
      <c r="B44" s="13"/>
      <c r="C44" s="13"/>
      <c r="D44" s="13"/>
      <c r="E44" s="13"/>
      <c r="F44" s="13"/>
      <c r="G44" s="13"/>
      <c r="H44" s="13"/>
      <c r="I44" s="13"/>
      <c r="J44" s="13"/>
      <c r="K44" s="13"/>
      <c r="L44" s="13"/>
    </row>
    <row r="45" spans="1:12" x14ac:dyDescent="0.3">
      <c r="A45" s="13"/>
      <c r="B45" s="13"/>
      <c r="C45" s="13"/>
      <c r="D45" s="13"/>
      <c r="E45" s="13"/>
      <c r="F45" s="13"/>
      <c r="G45" s="13"/>
      <c r="H45" s="13"/>
      <c r="I45" s="13"/>
      <c r="J45" s="13"/>
      <c r="K45" s="13"/>
      <c r="L45" s="13"/>
    </row>
    <row r="46" spans="1:12" x14ac:dyDescent="0.3">
      <c r="A46" s="13"/>
      <c r="B46" s="13"/>
      <c r="C46" s="13"/>
      <c r="D46" s="13"/>
      <c r="E46" s="13"/>
      <c r="F46" s="13"/>
      <c r="G46" s="13"/>
      <c r="H46" s="13"/>
      <c r="I46" s="13"/>
      <c r="J46" s="13"/>
      <c r="K46" s="13"/>
      <c r="L46" s="13"/>
    </row>
    <row r="47" spans="1:12" x14ac:dyDescent="0.3">
      <c r="A47" s="13"/>
      <c r="B47" s="13"/>
      <c r="C47" s="13"/>
      <c r="D47" s="13"/>
      <c r="E47" s="13"/>
      <c r="F47" s="13"/>
      <c r="G47" s="13"/>
      <c r="H47" s="13"/>
      <c r="I47" s="13"/>
      <c r="J47" s="13"/>
      <c r="K47" s="13"/>
      <c r="L47" s="13"/>
    </row>
    <row r="48" spans="1:12" x14ac:dyDescent="0.3">
      <c r="A48" s="13"/>
      <c r="B48" s="13"/>
      <c r="C48" s="13"/>
      <c r="D48" s="13"/>
      <c r="E48" s="13"/>
      <c r="F48" s="13"/>
      <c r="G48" s="13"/>
      <c r="H48" s="13"/>
      <c r="I48" s="13"/>
      <c r="J48" s="13"/>
      <c r="K48" s="13"/>
      <c r="L48" s="13"/>
    </row>
    <row r="49" spans="1:12" x14ac:dyDescent="0.3">
      <c r="A49" s="13"/>
      <c r="B49" s="13"/>
      <c r="C49" s="13"/>
      <c r="D49" s="13"/>
      <c r="E49" s="13"/>
      <c r="F49" s="13"/>
      <c r="G49" s="13"/>
      <c r="H49" s="13"/>
      <c r="I49" s="13"/>
      <c r="J49" s="13"/>
      <c r="K49" s="13"/>
      <c r="L49" s="13"/>
    </row>
    <row r="50" spans="1:12" x14ac:dyDescent="0.3">
      <c r="A50" s="13"/>
      <c r="B50" s="13"/>
      <c r="C50" s="13"/>
      <c r="D50" s="13"/>
      <c r="E50" s="13"/>
      <c r="F50" s="13"/>
      <c r="G50" s="13"/>
      <c r="H50" s="13"/>
      <c r="I50" s="13"/>
      <c r="J50" s="13"/>
      <c r="K50" s="13"/>
      <c r="L50" s="13"/>
    </row>
    <row r="51" spans="1:12" x14ac:dyDescent="0.3">
      <c r="A51" s="13"/>
      <c r="B51" s="13"/>
      <c r="C51" s="13"/>
      <c r="D51" s="13"/>
      <c r="E51" s="13"/>
      <c r="F51" s="13"/>
      <c r="G51" s="13"/>
      <c r="H51" s="13"/>
      <c r="I51" s="13"/>
      <c r="J51" s="13"/>
      <c r="K51" s="13"/>
      <c r="L51" s="13"/>
    </row>
    <row r="52" spans="1:12" x14ac:dyDescent="0.3">
      <c r="A52" s="13"/>
      <c r="B52" s="13"/>
      <c r="C52" s="13"/>
      <c r="D52" s="13"/>
      <c r="E52" s="13"/>
      <c r="F52" s="13"/>
      <c r="G52" s="13"/>
      <c r="H52" s="13"/>
      <c r="I52" s="13"/>
      <c r="J52" s="13"/>
      <c r="K52" s="13"/>
      <c r="L52" s="13"/>
    </row>
    <row r="53" spans="1:12" x14ac:dyDescent="0.3">
      <c r="A53" s="13"/>
      <c r="B53" s="13"/>
      <c r="C53" s="13"/>
      <c r="D53" s="13"/>
      <c r="E53" s="13"/>
      <c r="F53" s="13"/>
      <c r="G53" s="13"/>
      <c r="H53" s="13"/>
      <c r="I53" s="13"/>
      <c r="J53" s="13"/>
      <c r="K53" s="13"/>
      <c r="L53" s="13"/>
    </row>
    <row r="54" spans="1:12" x14ac:dyDescent="0.3">
      <c r="A54" s="13"/>
      <c r="B54" s="13"/>
      <c r="C54" s="13"/>
      <c r="D54" s="13"/>
      <c r="E54" s="13"/>
      <c r="F54" s="13"/>
      <c r="G54" s="13"/>
      <c r="H54" s="13"/>
      <c r="I54" s="13"/>
      <c r="J54" s="13"/>
      <c r="K54" s="13"/>
      <c r="L54" s="13"/>
    </row>
    <row r="55" spans="1:12" x14ac:dyDescent="0.3">
      <c r="A55" s="13"/>
      <c r="B55" s="13"/>
      <c r="C55" s="13"/>
      <c r="D55" s="13"/>
      <c r="E55" s="13"/>
      <c r="F55" s="13"/>
      <c r="G55" s="13"/>
      <c r="H55" s="13"/>
      <c r="I55" s="13"/>
      <c r="J55" s="13"/>
      <c r="K55" s="13"/>
      <c r="L55" s="13"/>
    </row>
    <row r="56" spans="1:12" x14ac:dyDescent="0.3">
      <c r="A56" s="13"/>
      <c r="B56" s="13"/>
      <c r="C56" s="13"/>
      <c r="D56" s="13"/>
      <c r="E56" s="13"/>
      <c r="F56" s="13"/>
      <c r="G56" s="13"/>
      <c r="H56" s="13"/>
      <c r="I56" s="13"/>
      <c r="J56" s="13"/>
      <c r="K56" s="13"/>
      <c r="L56" s="13"/>
    </row>
    <row r="57" spans="1:12" x14ac:dyDescent="0.3">
      <c r="A57" s="13"/>
      <c r="B57" s="13"/>
      <c r="C57" s="13"/>
      <c r="D57" s="13"/>
      <c r="E57" s="13"/>
      <c r="F57" s="13"/>
      <c r="G57" s="13"/>
      <c r="H57" s="13"/>
      <c r="I57" s="13"/>
      <c r="J57" s="13"/>
      <c r="K57" s="13"/>
      <c r="L57" s="13"/>
    </row>
    <row r="58" spans="1:12" x14ac:dyDescent="0.3">
      <c r="A58" s="13"/>
      <c r="B58" s="13"/>
      <c r="C58" s="13"/>
      <c r="D58" s="13"/>
      <c r="E58" s="13"/>
      <c r="F58" s="13"/>
      <c r="G58" s="13"/>
      <c r="H58" s="13"/>
      <c r="I58" s="13"/>
      <c r="J58" s="13"/>
      <c r="K58" s="13"/>
      <c r="L58" s="13"/>
    </row>
    <row r="59" spans="1:12" x14ac:dyDescent="0.3">
      <c r="A59" s="13"/>
      <c r="B59" s="13"/>
      <c r="C59" s="13"/>
      <c r="D59" s="13"/>
      <c r="E59" s="13"/>
      <c r="F59" s="13"/>
      <c r="G59" s="13"/>
      <c r="H59" s="13"/>
      <c r="I59" s="13"/>
      <c r="J59" s="13"/>
      <c r="K59" s="13"/>
      <c r="L59" s="13"/>
    </row>
    <row r="61" spans="1:12" x14ac:dyDescent="0.3">
      <c r="A61" s="5" t="s">
        <v>1380</v>
      </c>
    </row>
  </sheetData>
  <dataValidations count="2">
    <dataValidation type="list" allowBlank="1" sqref="I3:I59" xr:uid="{00000000-0002-0000-0C00-000000000000}">
      <formula1>"Critical,High,Medium,Low"</formula1>
    </dataValidation>
    <dataValidation type="list" allowBlank="1" sqref="J3:J59" xr:uid="{00000000-0002-0000-0C00-000001000000}">
      <formula1>"Open,Fixed,Retested OK,Will not fix,Not a bug"</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Start Here</vt:lpstr>
      <vt:lpstr>Progress</vt:lpstr>
      <vt:lpstr>0 Deployment check</vt:lpstr>
      <vt:lpstr>1 Book a Ride</vt:lpstr>
      <vt:lpstr>2 Booking results</vt:lpstr>
      <vt:lpstr>3 My Bookings</vt:lpstr>
      <vt:lpstr>4 Driver Dashboard</vt:lpstr>
      <vt:lpstr>5 Dispatch Dashboard</vt:lpstr>
      <vt:lpstr>6 Fleet Reports</vt:lpstr>
      <vt:lpstr>7 Across web parts</vt:lpstr>
      <vt:lpstr>Data Findings</vt:lpstr>
      <vt:lpstr>Code Review Risks</vt:lpstr>
      <vt:lpstr>Bug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aabid shaikh</cp:lastModifiedBy>
  <dcterms:created xsi:type="dcterms:W3CDTF">2026-10-09T07:22:51Z</dcterms:created>
  <dcterms:modified xsi:type="dcterms:W3CDTF">2026-10-09T07:23:02Z</dcterms:modified>
</cp:coreProperties>
</file>