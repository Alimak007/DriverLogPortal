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ALL DATA\Desktop\mysite\Que_Info\SPFx\DriverLogPortal\"/>
    </mc:Choice>
  </mc:AlternateContent>
  <xr:revisionPtr revIDLastSave="0" documentId="13_ncr:1_{5D955410-BEB8-455A-BEA9-4BFB45072D75}" xr6:coauthVersionLast="47" xr6:coauthVersionMax="47" xr10:uidLastSave="{00000000-0000-0000-0000-000000000000}"/>
  <bookViews>
    <workbookView xWindow="-108" yWindow="-108" windowWidth="23256" windowHeight="12456" xr2:uid="{00000000-000D-0000-FFFF-FFFF00000000}"/>
  </bookViews>
  <sheets>
    <sheet name="Read Me" sheetId="1" r:id="rId1"/>
    <sheet name="Summary" sheetId="2" r:id="rId2"/>
    <sheet name="Test Cases" sheetId="3" r:id="rId3"/>
    <sheet name="Code Review Risks" sheetId="4" r:id="rId4"/>
    <sheet name="Test Data" sheetId="5" r:id="rId5"/>
    <sheet name="Bug Log" sheetId="6" r:id="rId6"/>
  </sheets>
  <definedNames>
    <definedName name="_xlnm._FilterDatabase" localSheetId="2" hidden="1">'Test Cases'!$A$1:$O$278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2" l="1"/>
  <c r="B20" i="2"/>
  <c r="B19" i="2"/>
  <c r="G16" i="2"/>
  <c r="F16" i="2"/>
  <c r="E16" i="2"/>
  <c r="D16" i="2"/>
  <c r="C16" i="2"/>
  <c r="I16" i="2" s="1"/>
  <c r="B16" i="2"/>
  <c r="H16" i="2" s="1"/>
  <c r="G15" i="2"/>
  <c r="H15" i="2" s="1"/>
  <c r="F15" i="2"/>
  <c r="E15" i="2"/>
  <c r="D15" i="2"/>
  <c r="C15" i="2"/>
  <c r="I15" i="2" s="1"/>
  <c r="B15" i="2"/>
  <c r="G14" i="2"/>
  <c r="F14" i="2"/>
  <c r="E14" i="2"/>
  <c r="D14" i="2"/>
  <c r="C14" i="2"/>
  <c r="I14" i="2" s="1"/>
  <c r="B14" i="2"/>
  <c r="G13" i="2"/>
  <c r="F13" i="2"/>
  <c r="E13" i="2"/>
  <c r="D13" i="2"/>
  <c r="C13" i="2"/>
  <c r="I13" i="2" s="1"/>
  <c r="B13" i="2"/>
  <c r="G12" i="2"/>
  <c r="F12" i="2"/>
  <c r="E12" i="2"/>
  <c r="D12" i="2"/>
  <c r="C12" i="2"/>
  <c r="I12" i="2" s="1"/>
  <c r="B12" i="2"/>
  <c r="G11" i="2"/>
  <c r="H11" i="2" s="1"/>
  <c r="F11" i="2"/>
  <c r="E11" i="2"/>
  <c r="D11" i="2"/>
  <c r="I11" i="2" s="1"/>
  <c r="C11" i="2"/>
  <c r="B11" i="2"/>
  <c r="G10" i="2"/>
  <c r="F10" i="2"/>
  <c r="E10" i="2"/>
  <c r="D10" i="2"/>
  <c r="C10" i="2"/>
  <c r="I10" i="2" s="1"/>
  <c r="B10" i="2"/>
  <c r="G9" i="2"/>
  <c r="F9" i="2"/>
  <c r="E9" i="2"/>
  <c r="D9" i="2"/>
  <c r="C9" i="2"/>
  <c r="I9" i="2" s="1"/>
  <c r="B9" i="2"/>
  <c r="G8" i="2"/>
  <c r="F8" i="2"/>
  <c r="F17" i="2" s="1"/>
  <c r="E8" i="2"/>
  <c r="D8" i="2"/>
  <c r="C8" i="2"/>
  <c r="I8" i="2" s="1"/>
  <c r="B8" i="2"/>
  <c r="G7" i="2"/>
  <c r="F7" i="2"/>
  <c r="E7" i="2"/>
  <c r="D7" i="2"/>
  <c r="C7" i="2"/>
  <c r="I7" i="2" s="1"/>
  <c r="B7" i="2"/>
  <c r="H7" i="2" s="1"/>
  <c r="I6" i="2"/>
  <c r="G6" i="2"/>
  <c r="H6" i="2" s="1"/>
  <c r="F6" i="2"/>
  <c r="E6" i="2"/>
  <c r="D6" i="2"/>
  <c r="C6" i="2"/>
  <c r="B6" i="2"/>
  <c r="G5" i="2"/>
  <c r="F5" i="2"/>
  <c r="E5" i="2"/>
  <c r="D5" i="2"/>
  <c r="C5" i="2"/>
  <c r="B5" i="2"/>
  <c r="H14" i="2" l="1"/>
  <c r="H13" i="2"/>
  <c r="H12" i="2"/>
  <c r="H10" i="2"/>
  <c r="H9" i="2"/>
  <c r="D17" i="2"/>
  <c r="E17" i="2"/>
  <c r="G17" i="2"/>
  <c r="H8" i="2"/>
  <c r="C17" i="2"/>
  <c r="I17" i="2" s="1"/>
  <c r="I5" i="2"/>
  <c r="B17" i="2"/>
  <c r="H17" i="2" s="1"/>
  <c r="H5" i="2"/>
</calcChain>
</file>

<file path=xl/sharedStrings.xml><?xml version="1.0" encoding="utf-8"?>
<sst xmlns="http://schemas.openxmlformats.org/spreadsheetml/2006/main" count="3540" uniqueCount="1563">
  <si>
    <t>Fleet Booking and Dispatch Portal - Test Cases</t>
  </si>
  <si>
    <t>What this is</t>
  </si>
  <si>
    <t>A step-by-step test pack for the five web parts, the allocation engine that runs in the browser, and the eight Power Automate flows from Build Guide v4. Expected results were written from the source code and the seed script, not only from the documents.</t>
  </si>
  <si>
    <t>Sheets</t>
  </si>
  <si>
    <t>Summary: live pass and fail counts per module.
Test Cases: every test, in the order to run them.
Code Review Risks: places where reading the code suggests the behaviour will differ from the design. Each points to the test that confirms it.
Test Data: what the seed script loads, so you know what each screen should show.
Bug Log: where to record anything that fails.</t>
  </si>
  <si>
    <t>Cells you fill in</t>
  </si>
  <si>
    <t>Only the yellow columns on Test Cases: Actual result, Status, Notes / Bug ID, Tested by, Date tested. On Code Review Risks fill Confirmed? and Notes. On Bug Log fill every column.</t>
  </si>
  <si>
    <t>Status values</t>
  </si>
  <si>
    <t>Not Run (default), Pass, Fail, Blocked (could not be run, for example no second driver account or a flow not built yet), N/A.</t>
  </si>
  <si>
    <t>Order to run</t>
  </si>
  <si>
    <t>1. Module 01 Setup, exactly in order. SET-012 must be done before you open the Dispatch page for the first time.
2. Modules 02 to 08, which need no flows.
3. Module 09 once each flow is built, in the guide's build order.
4. Modules 10 to 12.
Re-seed with -Force (SET-008) whenever the data gets too tangled.</t>
  </si>
  <si>
    <t>Accounts</t>
  </si>
  <si>
    <t>TESTER: your own login, in all five FM groups, linked to driver Rashid Al Mansoori.
DRIVER-B: optional second login linked to Suresh Nair (pass it as -OtherDriverUpns when seeding and add it to FM Drivers). Needed for the accept race.
PLAIN: optional login in none of the FM groups. Needed for role and privacy tests.</t>
  </si>
  <si>
    <t>'Needs flows' column</t>
  </si>
  <si>
    <t>No: testable with the web parts alone. Yes: needs the Power Automate flow named in the test. Every driver and Coordinator action runs in the browser, so most of the pack is testable before any flow exists.</t>
  </si>
  <si>
    <t>Type column</t>
  </si>
  <si>
    <t>Positive: the normal path. Negative: something that must be refused. Edge case: an unusual but valid situation. Check: an inspection where you record what you find.</t>
  </si>
  <si>
    <t>Where to look</t>
  </si>
  <si>
    <t>Most expected results name list columns. Keep the SharePoint lists open in another tab: TransportRequests, RideOffers, TripAssignments, TripStatusHistory, DriversMaster, VehicleMaster. Keep the browser console open (F12); the engine logs lines starting [FleetPortal].</t>
  </si>
  <si>
    <t>Polling</t>
  </si>
  <si>
    <t>Driver page refreshes every 20 s, My Bookings every 30 s, Dispatch every 60 s, the booking wizard every 10 s. Flows wake about every 5 minutes; wait 10 minutes before failing any email test.</t>
  </si>
  <si>
    <t>Example of a filled row</t>
  </si>
  <si>
    <t>Actual result: 'Request went to Awaiting Coordinator, no offers created, console showed the escalation report.'  Status: Pass  Notes: (blank)  Tested by: MAS  Date tested: 12-Oct-2026</t>
  </si>
  <si>
    <t>Test progress</t>
  </si>
  <si>
    <t>Counts update as you set the Status column on the Test Cases sheet.</t>
  </si>
  <si>
    <t>Module</t>
  </si>
  <si>
    <t>Total</t>
  </si>
  <si>
    <t>Pass</t>
  </si>
  <si>
    <t>Fail</t>
  </si>
  <si>
    <t>Blocked</t>
  </si>
  <si>
    <t>N/A</t>
  </si>
  <si>
    <t>Not Run</t>
  </si>
  <si>
    <t>% run</t>
  </si>
  <si>
    <t>% passed of run</t>
  </si>
  <si>
    <t>01 Setup and environment</t>
  </si>
  <si>
    <t>02 Roles and access</t>
  </si>
  <si>
    <t>03 Book a Ride</t>
  </si>
  <si>
    <t>04 Allocation engine (broadcast)</t>
  </si>
  <si>
    <t>05 My Bookings</t>
  </si>
  <si>
    <t>06 Driver Dashboard</t>
  </si>
  <si>
    <t>07 Dispatch Dashboard</t>
  </si>
  <si>
    <t>08 Fleet Reports</t>
  </si>
  <si>
    <t>09 Power Automate flows</t>
  </si>
  <si>
    <t>10 Permissions and security</t>
  </si>
  <si>
    <t>11 End-to-end scenarios</t>
  </si>
  <si>
    <t>12 Interface, accessibility and resilience</t>
  </si>
  <si>
    <t>All modules</t>
  </si>
  <si>
    <t>High priority, not yet passed</t>
  </si>
  <si>
    <t>Tests that need flows</t>
  </si>
  <si>
    <t>Tests runnable without flows</t>
  </si>
  <si>
    <t>ID</t>
  </si>
  <si>
    <t>Feature</t>
  </si>
  <si>
    <t>Sign in as</t>
  </si>
  <si>
    <t>Type</t>
  </si>
  <si>
    <t>Priority</t>
  </si>
  <si>
    <t>Needs flows</t>
  </si>
  <si>
    <t>Preconditions</t>
  </si>
  <si>
    <t>Test steps</t>
  </si>
  <si>
    <t>Expected result</t>
  </si>
  <si>
    <t>Actual result</t>
  </si>
  <si>
    <t>Status</t>
  </si>
  <si>
    <t>Notes / Bug ID</t>
  </si>
  <si>
    <t>Tested by</t>
  </si>
  <si>
    <t>Date tested</t>
  </si>
  <si>
    <t>SET-001</t>
  </si>
  <si>
    <t>Tooling</t>
  </si>
  <si>
    <t>-</t>
  </si>
  <si>
    <t>Check</t>
  </si>
  <si>
    <t>High</t>
  </si>
  <si>
    <t>No</t>
  </si>
  <si>
    <t>Node 22.14 or later (below 23) installed.</t>
  </si>
  <si>
    <t>1. Open a terminal in the project folder.
2. Run: npm install</t>
  </si>
  <si>
    <t>Install finishes without errors and a node_modules folder exists.</t>
  </si>
  <si>
    <t>SET-002</t>
  </si>
  <si>
    <t>SET-001 passed.</t>
  </si>
  <si>
    <t>1. Run: npx heft build</t>
  </si>
  <si>
    <t>Build finishes with no TypeScript or lint errors.</t>
  </si>
  <si>
    <t>SET-003</t>
  </si>
  <si>
    <t>Medium</t>
  </si>
  <si>
    <t>1. Run: npx heft test</t>
  </si>
  <si>
    <t>The unit tests in src/common/rules/dispatchRules.test.ts run and all pass. Record the pass and fail counts in Actual result.</t>
  </si>
  <si>
    <t>SET-004</t>
  </si>
  <si>
    <t>Lists</t>
  </si>
  <si>
    <t>Site owner</t>
  </si>
  <si>
    <t>PnP.PowerShell installed. You are an owner of the test site.</t>
  </si>
  <si>
    <t>1. Run scripts/1-Provision-Lists.ps1 with -SiteUrl and -TesterUpn (your own login).
2. Open Site contents.</t>
  </si>
  <si>
    <t>- These lists exist: PropertyMaster, DLClientMaster, VehicleTypes, Locations, DriversMaster, VehicleMaster, AllocationRules, TransportRequests, TripAssignments, RideOffers, TripStatusHistory, AvailabilityBlocks, NotificationLog, Templates, ReportSnapshot.
- Five groups exist: FM Requesters, FM Drivers, FM Coordinators, FM Admins, FM Viewers.
- Your account is a member of all five.</t>
  </si>
  <si>
    <t>SET-005</t>
  </si>
  <si>
    <t>SET-004 passed.</t>
  </si>
  <si>
    <t>1. Run scripts/1-Provision-Lists.ps1 a second time with the same parameters.</t>
  </si>
  <si>
    <t>The script reports that everything already exists and creates no duplicate lists, columns or groups.</t>
  </si>
  <si>
    <t>SET-006</t>
  </si>
  <si>
    <t>Seed data</t>
  </si>
  <si>
    <t>SET-004 passed. Transactional lists are empty.</t>
  </si>
  <si>
    <t>1. Run scripts/2-Seed-TestData.ps1 with -SiteUrl and -TesterUpn. Add -OtherDriverUpns with one or two colleague logins if you have them.
2. Open each list and count the rows.</t>
  </si>
  <si>
    <t>- PropertyMaster 2, VehicleTypes 8, Locations 10, DriversMaster 6, DLClientMaster 7, VehicleMaster 8, AllocationRules 6, AvailabilityBlocks 2.
- TransportRequests 6 (FB-0001 to FB-0006, one per status), RideOffers 7, TripAssignments 2, TripStatusHistory 6, NotificationLog 3.
- DriversMaster row 'Rashid Al Mansoori' has your account in UserAccount.</t>
  </si>
  <si>
    <t>SET-007</t>
  </si>
  <si>
    <t>Negative</t>
  </si>
  <si>
    <t>Low</t>
  </si>
  <si>
    <t>SET-006 passed.</t>
  </si>
  <si>
    <t>1. Run scripts/2-Seed-TestData.ps1 again without -Force.</t>
  </si>
  <si>
    <t>The script warns that TransportRequests already holds data and stops. No duplicate rows are created.</t>
  </si>
  <si>
    <t>SET-008</t>
  </si>
  <si>
    <t>You are happy to lose the current test transactions.</t>
  </si>
  <si>
    <t>1. Run scripts/2-Seed-TestData.ps1 with -Force.</t>
  </si>
  <si>
    <t>TripStatusHistory, RideOffers, TripAssignments, TransportRequests and NotificationLog are cleared and reseeded. Master lists are not duplicated. Use this to reset between test rounds.</t>
  </si>
  <si>
    <t>SET-009</t>
  </si>
  <si>
    <t>Local run</t>
  </si>
  <si>
    <t>TESTER</t>
  </si>
  <si>
    <t>SET-002 passed. You can sign in to the SharePoint site named in config/serve.json.</t>
  </si>
  <si>
    <t>1. Run: npx heft trust-dev-cert (first time only).
2. Run: npm start
3. In the workbench that opens, add each of the five web parts in turn.</t>
  </si>
  <si>
    <t>- The workbench opens on the configured site.
- The toolbox lists five web parts: Book a Ride, My Bookings, Driver Dashboard, Dispatch Dashboard, Fleet Reports.
- Each one renders without a red error banner.</t>
  </si>
  <si>
    <t>SET-010</t>
  </si>
  <si>
    <t>Package</t>
  </si>
  <si>
    <t>SET-002 passed.</t>
  </si>
  <si>
    <t>1. Run: npx heft clean
2. Run: npx heft build --production
3. Run: npx heft package-solution --production
4. Check the size of sharepoint/solution/fleet-booking-dispatch.sppkg.</t>
  </si>
  <si>
    <t>- The .sppkg file is created.
- It is roughly 400 KB and contains exactly five .js bundles (one per web part).</t>
  </si>
  <si>
    <t>SET-011</t>
  </si>
  <si>
    <t>Deploy</t>
  </si>
  <si>
    <t>Tenant admin</t>
  </si>
  <si>
    <t>SET-010 passed.</t>
  </si>
  <si>
    <t>1. Upload the .sppkg to the tenant App Catalog and tick 'Make this solution available to all sites'.
2. Create five pages on the site: Book.aspx, MyBookings.aspx, Driver.aspx, Dispatch.aspx, Reports.aspx.
3. Put one web part on each page and publish.</t>
  </si>
  <si>
    <t>All five pages load for your account with no error banner. Use these pages for every test below.</t>
  </si>
  <si>
    <t>SET-012</t>
  </si>
  <si>
    <t>Seed baseline</t>
  </si>
  <si>
    <t>Fresh seed (SET-006 or SET-008). You have NOT opened Dispatch.aspx yet.</t>
  </si>
  <si>
    <t>1. Open Driver.aspx FIRST and note what you see.
2. Open MyBookings.aspx.
3. Only then open Dispatch.aspx.</t>
  </si>
  <si>
    <t>- Driver: banner shows 1 open offer (FB-0002) with a countdown of about 30 minutes; one trip card FB-0004 with status En Route.
- My Bookings: 6 rows, FB-0001 to FB-0006, one per status.
- Dispatch: Ongoing 1, Pending 3, Completed 1, Allocated pairs 1. FB-0003 pinned to the top.
- Important: opening Dispatch runs the sweep, which broadcasts FB-0001. After that, FB-0001 reads Broadcasting and Driver.aspx shows 2 open offers. This is designed behaviour (see ALC-012).</t>
  </si>
  <si>
    <t>SET-013</t>
  </si>
  <si>
    <t>Test accounts</t>
  </si>
  <si>
    <t>None.</t>
  </si>
  <si>
    <t>1. Decide which accounts you have and write them in Notes.
2. TESTER: your own login, in all five groups, linked to driver Rashid Al Mansoori.
3. DRIVER-B (optional): a second login passed as -OtherDriverUpns, linked to Suresh Nair, and added to FM Drivers.
4. PLAIN (optional): a login that can open the site but is in none of the FM groups.</t>
  </si>
  <si>
    <t>Accounts are recorded. Tests that need DRIVER-B or PLAIN are marked in the 'Sign in as' column. Mark them Blocked if you do not have that account.</t>
  </si>
  <si>
    <t>ROL-001</t>
  </si>
  <si>
    <t>Role detection</t>
  </si>
  <si>
    <t>Positive</t>
  </si>
  <si>
    <t>TESTER is in all five groups.</t>
  </si>
  <si>
    <t>1. Open each of the five pages.</t>
  </si>
  <si>
    <t>Every page renders its content. Reports shows 8 report buttons, including 'Driver response behaviour'.</t>
  </si>
  <si>
    <t>ROL-002</t>
  </si>
  <si>
    <t>PLAIN</t>
  </si>
  <si>
    <t>PLAIN is in no FM group.</t>
  </si>
  <si>
    <t>1. Sign in as PLAIN.
2. Open Book.aspx and go through to step 4.</t>
  </si>
  <si>
    <t>The booking wizard works. Someone in no group is treated as a requester.</t>
  </si>
  <si>
    <t>ROL-003</t>
  </si>
  <si>
    <t>PLAIN has no DriversMaster record.</t>
  </si>
  <si>
    <t>1. Sign in as PLAIN.
2. Open Driver.aspx.</t>
  </si>
  <si>
    <t>The page shows 'You are not set up as a driver' with the explanation that the account is not linked to a DriversMaster record. No offers or trips are shown.</t>
  </si>
  <si>
    <t>ROL-004</t>
  </si>
  <si>
    <t>Account in FM Drivers but not in DriversMaster</t>
  </si>
  <si>
    <t>Add PLAIN to FM Drivers but do not create a DriversMaster row for it.</t>
  </si>
  <si>
    <t>1. Sign in and open Driver.aspx.</t>
  </si>
  <si>
    <t>Same 'You are not set up as a driver' message. Group membership alone is not enough; UserAccount on DriversMaster is what links the driver.</t>
  </si>
  <si>
    <t>ROL-005</t>
  </si>
  <si>
    <t>Restricted report</t>
  </si>
  <si>
    <t>Account in FM Viewers only</t>
  </si>
  <si>
    <t>An account that is only in FM Viewers (or remove TESTER from FM Admins and FM Coordinators).</t>
  </si>
  <si>
    <t>1. Open Reports.aspx.
2. Count the report buttons.</t>
  </si>
  <si>
    <t>7 reports are listed. 'Driver response behaviour' is not shown.</t>
  </si>
  <si>
    <t>ROL-006</t>
  </si>
  <si>
    <t>TESTER is in FM Admins or FM Coordinators.</t>
  </si>
  <si>
    <t>1. Open Reports.aspx.
2. Click 'Driver response behaviour'.</t>
  </si>
  <si>
    <t>The button is present and marked 'Restricted · shows individual acceptance rates'. An amber notice about how the report will be used appears above the results.</t>
  </si>
  <si>
    <t>ROL-007</t>
  </si>
  <si>
    <t>Page gating</t>
  </si>
  <si>
    <t>1. Sign in as PLAIN.
2. Open Dispatch.aspx.
3. Open Reports.aspx.</t>
  </si>
  <si>
    <t>Design intent: a requester should only use Book a Ride and My Bookings. Record what actually happens on each page (does the dashboard load, are the Assign / Reject / Cancel buttons shown, can reports be run).</t>
  </si>
  <si>
    <t>ROL-008</t>
  </si>
  <si>
    <t>Property scoping</t>
  </si>
  <si>
    <t>Rashid is linked to both properties in DLClientMaster.</t>
  </si>
  <si>
    <t>1. Open Dispatch.aspx.
2. Open the Availability &gt; Drivers tab and the Vehicles tab.</t>
  </si>
  <si>
    <t>Drivers and vehicles from BOTH Dubai Head Office and Abu Dhabi Site are listed (6 drivers, 8 vehicles).</t>
  </si>
  <si>
    <t>ROL-009</t>
  </si>
  <si>
    <t>Coordinator who is not a driver</t>
  </si>
  <si>
    <t>An account in FM Coordinators with no DriversMaster record.</t>
  </si>
  <si>
    <t>1. Open Dispatch.aspx.</t>
  </si>
  <si>
    <t>All properties are shown (an empty property list means 'all').</t>
  </si>
  <si>
    <t>ROL-010</t>
  </si>
  <si>
    <t>Bootstrap</t>
  </si>
  <si>
    <t>Edge case</t>
  </si>
  <si>
    <t>A test page with two or more of the web parts on it.</t>
  </si>
  <si>
    <t>1. Open the page with the browser network tab open.
2. Filter requests on 'currentuser'.</t>
  </si>
  <si>
    <t>The user and group lookups happen once for the page, not once per web part.</t>
  </si>
  <si>
    <t>BAR-001</t>
  </si>
  <si>
    <t>Load</t>
  </si>
  <si>
    <t>Seed data loaded.</t>
  </si>
  <si>
    <t>1. Open Book.aspx.</t>
  </si>
  <si>
    <t>- Heading 'Book a ride' with the caption 'Four steps. Everything is a choice from a list, so nothing can be mistyped.'
- Step indicator shows Step 1: Where, Step 2: When, Step 3: Request type, Step 4: Vehicle, with step 1 current.
- Back is disabled. The primary button reads 'Continue'.</t>
  </si>
  <si>
    <t>BAR-002</t>
  </si>
  <si>
    <t>Step 1 - Where</t>
  </si>
  <si>
    <t>TESTER is linked to Dubai Head Office.</t>
  </si>
  <si>
    <t>1. Open Book.aspx and look at the Pickup point field before touching it.</t>
  </si>
  <si>
    <t>A pickup is pre-selected from your own property (shown as 'Selected: &lt;name&gt; · &lt;address&gt;'). TESTING.md says it should be 'Dubai Head Office'. Record the exact location shown.</t>
  </si>
  <si>
    <t>BAR-003</t>
  </si>
  <si>
    <t>PLAIN has no property.</t>
  </si>
  <si>
    <t>1. Sign in as PLAIN and open Book.aspx.</t>
  </si>
  <si>
    <t>No pickup is pre-selected. The placeholder reads 'Search for a pickup point'.</t>
  </si>
  <si>
    <t>BAR-004</t>
  </si>
  <si>
    <t>1. Click in Destination.
2. Type: mar</t>
  </si>
  <si>
    <t>The list opens and filters to locations whose name or address contains 'mar' (Marina Staff Residence). Each option shows its address.</t>
  </si>
  <si>
    <t>BAR-005</t>
  </si>
  <si>
    <t>1. In Destination type: jebel ali free</t>
  </si>
  <si>
    <t>Jebel Ali Warehouse is listed, because the search also matches the address.</t>
  </si>
  <si>
    <t>BAR-006</t>
  </si>
  <si>
    <t>1. In Destination type: zzzz
2. Without choosing an option, click Continue.</t>
  </si>
  <si>
    <t>- The list shows 'No location matches that. Try a shorter search.'
- Continue is refused with 'Choose a destination.' Typed text never becomes the destination.</t>
  </si>
  <si>
    <t>BAR-007</t>
  </si>
  <si>
    <t>1. Click in Destination with nothing typed.</t>
  </si>
  <si>
    <t>Up to 20 active locations are listed. With the seed, all 10 appear.</t>
  </si>
  <si>
    <t>BAR-008</t>
  </si>
  <si>
    <t>A pickup is selected.</t>
  </si>
  <si>
    <t>1. Choose the same location as the pickup for Destination.
2. Click Continue.</t>
  </si>
  <si>
    <t>Refused with 'The pickup point and the destination are the same.'</t>
  </si>
  <si>
    <t>BAR-009</t>
  </si>
  <si>
    <t>No pickup pre-selected.</t>
  </si>
  <si>
    <t>1. Choose only a destination.
2. Click Continue.</t>
  </si>
  <si>
    <t>Refused with 'Choose a pickup point.'</t>
  </si>
  <si>
    <t>BAR-010</t>
  </si>
  <si>
    <t>1. Change Pickup point to 'Abu Dhabi Site Office'.
2. Choose Destination 'Dubai International T3'.
3. Click Continue.</t>
  </si>
  <si>
    <t>Accepted. A trip may run between locations of different properties.</t>
  </si>
  <si>
    <t>BAR-011</t>
  </si>
  <si>
    <t>In the Locations list set IsActive = No on one location.</t>
  </si>
  <si>
    <t>1. Reload Book.aspx.
2. Search for that location in both pickers.</t>
  </si>
  <si>
    <t>The inactive location is not offered. Set it back to Yes afterwards.</t>
  </si>
  <si>
    <t>BAR-012</t>
  </si>
  <si>
    <t>Step 2 - When</t>
  </si>
  <si>
    <t>Step 1 completed.</t>
  </si>
  <si>
    <t>1. Look at the time slot grid for Today.</t>
  </si>
  <si>
    <t>- Heading 'When do you need it?'. 'Today' is the selected toggle.
- 48 slots at 30-minute intervals, labelled in 24-hour Gulf Standard Time.
- Every slot earlier than now + 15 minutes is disabled.</t>
  </si>
  <si>
    <t>BAR-013</t>
  </si>
  <si>
    <t>1. Without choosing a slot, click Continue.</t>
  </si>
  <si>
    <t>Refused with 'Choose a time.'</t>
  </si>
  <si>
    <t>BAR-014</t>
  </si>
  <si>
    <t>1. Click 'Another day'.
2. Pick tomorrow's date.</t>
  </si>
  <si>
    <t>A Date field appears. After picking tomorrow, the slot label shows tomorrow's date and all 48 slots are enabled.</t>
  </si>
  <si>
    <t>BAR-015</t>
  </si>
  <si>
    <t>1. Click 'Another day'.
2. Pick yesterday's date.</t>
  </si>
  <si>
    <t>Every slot is disabled, so a past booking cannot be made.</t>
  </si>
  <si>
    <t>BAR-016</t>
  </si>
  <si>
    <t>1. Choose a slot under Today.
2. Click 'Another day' and then 'Today' again.
3. Click Continue.</t>
  </si>
  <si>
    <t>Switching the day clears the chosen slot. Continue is refused with 'Choose a time.' until a slot is chosen again.</t>
  </si>
  <si>
    <t>BAR-017</t>
  </si>
  <si>
    <t>Change your PC time zone to something other than UTC+4 (for example UTC or India).</t>
  </si>
  <si>
    <t>1. Reload Book.aspx and go to step 2.</t>
  </si>
  <si>
    <t>Slot labels and the 'past' cut-off are still in Gulf Standard Time, not in the PC's time zone. Restore the PC time zone afterwards.</t>
  </si>
  <si>
    <t>BAR-018</t>
  </si>
  <si>
    <t>Step 3 - Request type</t>
  </si>
  <si>
    <t>Step 2 completed.</t>
  </si>
  <si>
    <t>1. Look at the tiles.</t>
  </si>
  <si>
    <t>Three tiles: 'Client or Client Guest', 'Staff', 'Items or Documents', each with a one-line caption. The chosen tile is marked as selected in words, not colour alone.</t>
  </si>
  <si>
    <t>BAR-019</t>
  </si>
  <si>
    <t>1. Click Continue without choosing a tile.</t>
  </si>
  <si>
    <t>Refused with 'Choose a request type.'</t>
  </si>
  <si>
    <t>BAR-020</t>
  </si>
  <si>
    <t>Step 4 - Vehicle</t>
  </si>
  <si>
    <t>Request type = Client or Client Guest.</t>
  </si>
  <si>
    <t>1. Continue to step 4 and read the tiles.</t>
  </si>
  <si>
    <t>Tiles in this order: Patrol (Up to 7 people), Pathfinder (Up to 7 people), Kicks / Creta (Up to 5 people), Others. No vans.</t>
  </si>
  <si>
    <t>BAR-021</t>
  </si>
  <si>
    <t>Request type = Staff.</t>
  </si>
  <si>
    <t>1. Continue to step 4.</t>
  </si>
  <si>
    <t>Same four tiles as for a client: Patrol, Pathfinder, Kicks / Creta, Others.</t>
  </si>
  <si>
    <t>BAR-022</t>
  </si>
  <si>
    <t>Request type = Items or Documents.</t>
  </si>
  <si>
    <t>- Tiles: Cargo Van, Chiller Van, Hot and Cold Van, Animal Van, Others.
- Instead of the passenger count there is a 'What is being moved?' dropdown and an 'Anything the driver should know?' box.</t>
  </si>
  <si>
    <t>BAR-023</t>
  </si>
  <si>
    <t>On step 4 with a vehicle tile chosen.</t>
  </si>
  <si>
    <t>1. Click Back.
2. Choose a different request type.
3. Click Continue.</t>
  </si>
  <si>
    <t>The earlier vehicle choice is cleared. Submit is refused with 'Choose a vehicle type.' until a tile is chosen.</t>
  </si>
  <si>
    <t>BAR-024</t>
  </si>
  <si>
    <t>1. Choose the 'Others' tile.</t>
  </si>
  <si>
    <t>A text field 'What kind of vehicle do you need?' appears. It is the only free-text vehicle field in the wizard and it does not appear for any other tile.</t>
  </si>
  <si>
    <t>BAR-025</t>
  </si>
  <si>
    <t>'Others' chosen.</t>
  </si>
  <si>
    <t>1. Leave the text field empty (or spaces only).
2. Click Submit request.</t>
  </si>
  <si>
    <t>Refused with 'Describe the vehicle you need.'</t>
  </si>
  <si>
    <t>BAR-026</t>
  </si>
  <si>
    <t>Passenger request type.</t>
  </si>
  <si>
    <t>1. Clear the passenger field and click Submit request.
2. Enter 0 and click Submit request.</t>
  </si>
  <si>
    <t>Both are refused with 'Enter how many people are travelling.'</t>
  </si>
  <si>
    <t>BAR-027</t>
  </si>
  <si>
    <t>Passenger request type, Kicks / Creta chosen (capacity 5).</t>
  </si>
  <si>
    <t>1. Enter 99 passengers.
2. Click Submit request.</t>
  </si>
  <si>
    <t>The hint says the number is 'Checked against the capacity of the vehicle that is assigned'. Record whether 99 is refused or accepted.</t>
  </si>
  <si>
    <t>BAR-028</t>
  </si>
  <si>
    <t>Request type = Items or Documents, a van chosen.</t>
  </si>
  <si>
    <t>1. Leave 'What is being moved?' on 'Choose one'.
2. Click Submit request.</t>
  </si>
  <si>
    <t>Refused with 'Choose what is being moved.'</t>
  </si>
  <si>
    <t>BAR-029</t>
  </si>
  <si>
    <t>1. Open the 'What is being moved?' dropdown.</t>
  </si>
  <si>
    <t>Options: Documents, Parcel, Equipment, Medical, Food, Other.</t>
  </si>
  <si>
    <t>BAR-030</t>
  </si>
  <si>
    <t>1. Paste a very long text into Remarks, the 'Others' field and the item notes.</t>
  </si>
  <si>
    <t>Remarks and item notes stop at 500 characters. The 'Others' field stops at 255.</t>
  </si>
  <si>
    <t>BAR-031</t>
  </si>
  <si>
    <t>Navigation</t>
  </si>
  <si>
    <t>On step 4 with everything filled in.</t>
  </si>
  <si>
    <t>1. Click Back three times to step 1.
2. Click Continue three times.</t>
  </si>
  <si>
    <t>Every earlier choice (pickup, destination, slot, request type) is still selected. The step indicator marks finished steps with a tick and '(done)'.</t>
  </si>
  <si>
    <t>BAR-032</t>
  </si>
  <si>
    <t>Submit</t>
  </si>
  <si>
    <t>Dubai pickup, a slot within the next 4 hours, Staff, Kicks / Creta, 2 passengers, a remark.</t>
  </si>
  <si>
    <t>1. Click Submit request.
2. Note the reference shown.
3. Open the new row in the TransportRequests list.</t>
  </si>
  <si>
    <t>- The button reads 'Submitting…' and is disabled while saving.
- Screen 5 appears: 'Your request has been received' with a reference like FB-0007. It says received, not confirmed.
- List row: Title = the reference (FB- plus the item ID padded to 4 digits), Requester = you, Property = the pickup's property, Priority = Normal, pickup, drop-off, required time (stored in UTC), NoOfPax, vehicle type and remarks as entered.</t>
  </si>
  <si>
    <t>BAR-033</t>
  </si>
  <si>
    <t>Items or Documents, Cargo Van, item = Equipment, a note.</t>
  </si>
  <si>
    <t>1. Submit the request.
2. Open the list row.</t>
  </si>
  <si>
    <t>ItemDescription and ItemNotes are saved. NoOfPax is empty.</t>
  </si>
  <si>
    <t>BAR-034</t>
  </si>
  <si>
    <t>Vehicle type Others with text 'Flatbed truck'.</t>
  </si>
  <si>
    <t>1. Submit the request.
2. Open the list row.
3. Open MyBookings.aspx and select the request.</t>
  </si>
  <si>
    <t>OtherVehicleText = 'Flatbed truck'. My Bookings shows Vehicle type 'Others (Flatbed truck)'.</t>
  </si>
  <si>
    <t>BAR-035</t>
  </si>
  <si>
    <t>Screen 5 - Processing</t>
  </si>
  <si>
    <t>A request submitted that broadcasts (BAR-032).</t>
  </si>
  <si>
    <t>1. Stay on screen 5 for 10 to 20 seconds.</t>
  </si>
  <si>
    <t>Progress list reads: Request received — done; Finding a vehicle — done; Matching a driver — in progress. The page updates on its own.</t>
  </si>
  <si>
    <t>BAR-036</t>
  </si>
  <si>
    <t>Submit a request that escalates at once (Chiller Van from a Dubai pickup, today).</t>
  </si>
  <si>
    <t>An amber notice says no driver was free and the request has gone to the Transportation Coordinator, and that the booking has not been lost.</t>
  </si>
  <si>
    <t>BAR-037</t>
  </si>
  <si>
    <t>Screen 5 to 6 - Confirmed</t>
  </si>
  <si>
    <t>TESTER + a driver</t>
  </si>
  <si>
    <t>Screen 5 open for a Broadcasting request. A driver accepts it (see DRV-012) in another tab or browser.</t>
  </si>
  <si>
    <t>1. Keep screen 5 open and wait up to 10 seconds after the driver accepts.</t>
  </si>
  <si>
    <t>- The page moves to 'Booking confirmed' without a reload.
- 'Your trip' card: reference, when, from, to, type.
- 'Your driver' card: driver name, phone as a tap-to-call link, vehicle colour make and model, plate, vehicle type.</t>
  </si>
  <si>
    <t>BAR-038</t>
  </si>
  <si>
    <t>Screen 7 - Track</t>
  </si>
  <si>
    <t>On the Booking confirmed screen.</t>
  </si>
  <si>
    <t>1. Click 'Track my ride'.
2. Have the driver tap On my way, Picked up and Complete, and watch the page.</t>
  </si>
  <si>
    <t>- Heading 'Track my ride' with the reference and a status badge.
- Timeline of four stages: Booking confirmed, Driver on the way, On the way to your destination, Trip completed. Each says Done, Now or To come in words, with a timestamp once reached.
- The driver and vehicle card stays on screen throughout. The page updates within about 10 seconds of each driver tap.</t>
  </si>
  <si>
    <t>BAR-039</t>
  </si>
  <si>
    <t>On screen 5 for a request no driver has accepted.</t>
  </si>
  <si>
    <t>1. Click 'Track this request'.</t>
  </si>
  <si>
    <t>Track my ride shows 'No driver has accepted yet' and 'You will be e-mailed as soon as one does.'</t>
  </si>
  <si>
    <t>BAR-040</t>
  </si>
  <si>
    <t>Start over</t>
  </si>
  <si>
    <t>On screen 6 or 7.</t>
  </si>
  <si>
    <t>1. Click 'Book another ride'.</t>
  </si>
  <si>
    <t>The wizard returns to step 1 with every field cleared.</t>
  </si>
  <si>
    <t>BAR-041</t>
  </si>
  <si>
    <t>Failure</t>
  </si>
  <si>
    <t>1. Switch the browser to Offline in DevTools.
2. Click Submit request.
3. Go back online.</t>
  </si>
  <si>
    <t>A red error banner appears saying the change could not be saved and nothing was saved. The wizard stays on step 4 with the form intact so you can retry.</t>
  </si>
  <si>
    <t>BAR-042</t>
  </si>
  <si>
    <t>Web part settings</t>
  </si>
  <si>
    <t>Page editor</t>
  </si>
  <si>
    <t>Edit Book.aspx.</t>
  </si>
  <si>
    <t>1. Open the web part property pane.
2. Change the default property ID and the processing poll interval.
3. Save and reload.</t>
  </si>
  <si>
    <t>Both settings are present. A valid PropertyMaster ID changes the default pickup to a location of that property. The poll interval changes how often screen 5 and 7 refresh.</t>
  </si>
  <si>
    <t>ALC-001</t>
  </si>
  <si>
    <t>Eligible drivers</t>
  </si>
  <si>
    <t>Seed data. Check results in the RideOffers and TransportRequests lists. Suresh Nair holds no open trip.</t>
  </si>
  <si>
    <t>1. Book: Dubai pickup, today within 4 hours, Staff, Kicks / Creta.
2. Open the request row and the RideOffers list.</t>
  </si>
  <si>
    <t>- Request ReqStatus = Broadcasting. OfferClosesAt = about 5 minutes after submit (the seeded rule's OfferWindowMinutes).
- Exactly two RideOffers rows, for Rashid Al Mansoori and Suresh Nair, both Pending, Vehicle empty.
- Offer titles follow FB-00nn-D00x (request reference plus the driver's item ID).</t>
  </si>
  <si>
    <t>ALC-002</t>
  </si>
  <si>
    <t>Seed data. Check results in the RideOffers and TransportRequests lists.</t>
  </si>
  <si>
    <t>1. Look at the offers created in ALC-001.</t>
  </si>
  <si>
    <t>- No offer for Ali Hassan (on leave, has an AvailabilityBlocks row covering today).
- No offer for Mohammed Iqbal or Arun Prasad (qualified for vans only).
- No offer for Jomon Varghese (allocated to Abu Dhabi only).</t>
  </si>
  <si>
    <t>ALC-003</t>
  </si>
  <si>
    <t>1. Book: Dubai pickup, today within 4 hours, Items or Documents, Cargo Van.</t>
  </si>
  <si>
    <t>Request is Broadcasting. Offers go to Mohammed Iqbal and Arun Prasad only.</t>
  </si>
  <si>
    <t>ALC-004</t>
  </si>
  <si>
    <t>Multi-property driver</t>
  </si>
  <si>
    <t>1. Book: pickup 'Abu Dhabi Site Office', today within 4 hours, Staff, Patrol.</t>
  </si>
  <si>
    <t>- Request Property = Abu Dhabi Site (taken from the pickup location).
- Offers go to Rashid Al Mansoori (linked to both properties) and Jomon Varghese. Suresh Nair gets none.</t>
  </si>
  <si>
    <t>ALC-005</t>
  </si>
  <si>
    <t>No free vehicle</t>
  </si>
  <si>
    <t>Seed data. Check results in the RideOffers and TransportRequests lists. E 56789 (the only Chiller Van) is Under Maintenance.</t>
  </si>
  <si>
    <t>1. Open the browser console (F12).
2. Book: Dubai pickup, today, Items or Documents, Chiller Van.</t>
  </si>
  <si>
    <t>- Request goes straight to Awaiting Coordinator. OfferClosesAt is set to the submit time. No RideOffers rows.
- The console shows a '[FleetPortal] FB-00nn escalated to the Coordinator' report listing each driver and the reason they were or were not eligible, and 'vehicles ... free: 0'.</t>
  </si>
  <si>
    <t>ALC-006</t>
  </si>
  <si>
    <t>Seed data. Check results in the RideOffers and TransportRequests lists. FB-0004 is still open, so Patrol A 12345 is on a trip.</t>
  </si>
  <si>
    <t>1. Book: Dubai pickup, today, Staff, Patrol.</t>
  </si>
  <si>
    <t>Escalates to Awaiting Coordinator, because the only Dubai Patrol is on an open trip.</t>
  </si>
  <si>
    <t>ALC-007</t>
  </si>
  <si>
    <t>1. Book any request with vehicle type Others.</t>
  </si>
  <si>
    <t>Escalates to Awaiting Coordinator (there is no vehicle of type Others), so the Coordinator reads the free text and assigns by hand.</t>
  </si>
  <si>
    <t>ALC-008</t>
  </si>
  <si>
    <t>No eligible driver</t>
  </si>
  <si>
    <t>1. Book: pickup 'Abu Dhabi Site Office', today, Items or Documents, Cargo Van.</t>
  </si>
  <si>
    <t>Escalates to Awaiting Coordinator. No Abu Dhabi driver is van-qualified and there is no van there.</t>
  </si>
  <si>
    <t>ALC-009</t>
  </si>
  <si>
    <t>Concurrent-trip cap</t>
  </si>
  <si>
    <t>TESTER + DRIVER-B</t>
  </si>
  <si>
    <t>Suresh Nair (cap 1) holds an open trip. Rashid (cap 2) holds one open trip.</t>
  </si>
  <si>
    <t>1. Book: Dubai pickup, today, Staff, Kicks / Creta (or Pathfinder if it is free).</t>
  </si>
  <si>
    <t>An offer is created for Rashid only. Suresh is at his cap and gets none.</t>
  </si>
  <si>
    <t>ALC-010</t>
  </si>
  <si>
    <t>Rashid holds two open trips (FB-0004 plus one more).</t>
  </si>
  <si>
    <t>1. Book another passenger request from a Dubai pickup.</t>
  </si>
  <si>
    <t>Rashid gets no offer. If no other driver is eligible, the request escalates.</t>
  </si>
  <si>
    <t>ALC-011</t>
  </si>
  <si>
    <t>Advance booking</t>
  </si>
  <si>
    <t>1. Book: Dubai pickup, 'Another day' = tomorrow, any slot, Staff, Kicks / Creta.
2. Open the request row.</t>
  </si>
  <si>
    <t>- ReqStatus = Held. ReleaseAt = required time minus 4 hours. No RideOffers rows.
- Screen 5 still says the request was received. My Bookings shows the badge 'Held'.</t>
  </si>
  <si>
    <t>ALC-012</t>
  </si>
  <si>
    <t>Sweep</t>
  </si>
  <si>
    <t>A request with ReqStatus = Submitted exists (seeded FB-0001, or set a Held request to Submitted by hand to imitate Flow 5).</t>
  </si>
  <si>
    <t>1. Open Dispatch.aspx (or wait for its 60-second refresh).
2. Open the request row and RideOffers.</t>
  </si>
  <si>
    <t>Within one refresh the request becomes Broadcasting and offers are created for the eligible drivers. This is how released advance bookings and half-finished submissions get picked up.</t>
  </si>
  <si>
    <t>ALC-013</t>
  </si>
  <si>
    <t>Idempotent</t>
  </si>
  <si>
    <t>A Broadcasting request with Pending offers.</t>
  </si>
  <si>
    <t>1. Click Refresh on Dispatch.aspx five times.
2. Count the RideOffers rows for that request.</t>
  </si>
  <si>
    <t>The number of offers does not change. No duplicate offers are created.</t>
  </si>
  <si>
    <t>ALC-014</t>
  </si>
  <si>
    <t>Licence expiry</t>
  </si>
  <si>
    <t>Arun Prasad's licence expires 10 days from the seed date.</t>
  </si>
  <si>
    <t>1. Book: Dubai pickup, a date 12 or more days ahead, Items or Documents, Cargo Van. It is Held.
2. In TransportRequests set that row's ReqStatus to Submitted by hand.
3. Open Dispatch.aspx so the sweep broadcasts it.</t>
  </si>
  <si>
    <t>The offer goes to Mohammed Iqbal only. Arun Prasad is excluded because his licence expires before the end of the trip window.</t>
  </si>
  <si>
    <t>ALC-015</t>
  </si>
  <si>
    <t>Shift block</t>
  </si>
  <si>
    <t>Add an AvailabilityBlocks row for Suresh Nair with BlockType = Shift covering today.</t>
  </si>
  <si>
    <t>1. Book a Dubai passenger request for today.</t>
  </si>
  <si>
    <t>Suresh still gets an offer. A Shift row says when a driver works; it never excludes. Delete the row afterwards.</t>
  </si>
  <si>
    <t>ALC-016</t>
  </si>
  <si>
    <t>Vehicle block</t>
  </si>
  <si>
    <t>Add an AvailabilityBlocks row for vehicle C 34567 with BlockType = Maintenance covering today. Leave its VehStatus as Available.</t>
  </si>
  <si>
    <t>1. Book: Dubai pickup, today, Staff, Kicks / Creta.</t>
  </si>
  <si>
    <t>Escalates to Awaiting Coordinator. A vehicle with a non-Shift block is not free even if its status still reads Available. Delete the row afterwards.</t>
  </si>
  <si>
    <t>ALC-017</t>
  </si>
  <si>
    <t>Inactive driver</t>
  </si>
  <si>
    <t>Set IsActive = No on Suresh Nair in DriversMaster.</t>
  </si>
  <si>
    <t>Suresh gets no offer. Set IsActive back to Yes afterwards.</t>
  </si>
  <si>
    <t>ALC-018</t>
  </si>
  <si>
    <t>Rule - Manual mode</t>
  </si>
  <si>
    <t>In AllocationRules set Mode = Manual on 'Dubai Head Office - Staff'.</t>
  </si>
  <si>
    <t>Request goes straight to Awaiting Coordinator with no offers. Set the rule back to Automatic afterwards.</t>
  </si>
  <si>
    <t>ALC-019</t>
  </si>
  <si>
    <t>Rule - defaults</t>
  </si>
  <si>
    <t>Set IsActive = No on the rule 'Dubai Head Office - Staff'.</t>
  </si>
  <si>
    <t>1. Book: Dubai pickup, today, Staff, Kicks / Creta.
2. Compare OfferClosesAt with the Created time.</t>
  </si>
  <si>
    <t>The built-in defaults apply: offer window 15 minutes, cap 1, advance release 4 hours, Automatic. Reactivate the rule afterwards.</t>
  </si>
  <si>
    <t>ALC-020</t>
  </si>
  <si>
    <t>Rule - offer window</t>
  </si>
  <si>
    <t>Seeded rules have OfferWindowMinutes = 5.</t>
  </si>
  <si>
    <t>1. Open AllocationRules and read OfferWindowMinutes on all six rows.</t>
  </si>
  <si>
    <t>The architecture document says the window must be 15 minutes so it outlasts the email delay of the polling flows. Record the seeded value and decide whether to change it to 15 before testing the flows.</t>
  </si>
  <si>
    <t>MYB-001</t>
  </si>
  <si>
    <t>Seed data.</t>
  </si>
  <si>
    <t>1. Open MyBookings.aspx.</t>
  </si>
  <si>
    <t>- Heading 'My bookings', caption 'Your requests, newest first...', a Refresh button.
- Left: 'Request history' grid with columns Reference, Required, From and to, Request type, Status, Actions.
- Right: 'Booking detail' for the newest request, which is selected automatically (its row button reads 'Showing').</t>
  </si>
  <si>
    <t>MYB-002</t>
  </si>
  <si>
    <t>PLAIN has never booked.</t>
  </si>
  <si>
    <t>1. Sign in as PLAIN and open MyBookings.aspx.</t>
  </si>
  <si>
    <t>Empty state: 'You have not booked anything yet' with a pointer to the Book a ride page.</t>
  </si>
  <si>
    <t>MYB-003</t>
  </si>
  <si>
    <t>History grid</t>
  </si>
  <si>
    <t>1. Read the Status column for FB-0001 to FB-0006.</t>
  </si>
  <si>
    <t>Each status is shown as a badge with its word: Submitted, Broadcasting, Awaiting Coordinator, Allocated, Completed, Cancelled. Required times are in Gulf Standard Time (dd/mm/yyyy, hh:mm).</t>
  </si>
  <si>
    <t>MYB-004</t>
  </si>
  <si>
    <t>1. Click the Status column header.
2. Tick 'Allocated' and 'Completed'.
3. Click Close.
4. Open the filter again and click Clear.</t>
  </si>
  <si>
    <t>- Only those two rows remain. The header shows '▼ filtered (2)'.
- Clear restores all rows.</t>
  </si>
  <si>
    <t>MYB-005</t>
  </si>
  <si>
    <t>1. Filter the Request type column to 'Staff'.</t>
  </si>
  <si>
    <t>Only Staff requests are shown.</t>
  </si>
  <si>
    <t>MYB-006</t>
  </si>
  <si>
    <t>Detail</t>
  </si>
  <si>
    <t>1. Click View on FB-0004 (Allocated, trip En Route).</t>
  </si>
  <si>
    <t>- Detail shows reference, badge Allocated, Required, From, To, Request type, Vehicle type, Passengers.
- 'Your driver and vehicle': Rashid Al Mansoori, phone +971 50 111 2233 as a link, White Nissan Patrol, plate A 12345.
- 'Progress' timeline: Booking confirmed = Done, Driver on the way = Now, the rest To come.
- ETA line: 'approx. 12 min · estimate last updated &lt;date time&gt;'.</t>
  </si>
  <si>
    <t>MYB-007</t>
  </si>
  <si>
    <t>1. Click View on FB-0005 (Completed).</t>
  </si>
  <si>
    <t>All four timeline stages show Done or Now with timestamps. Driver Suresh Nair, Silver Nissan Pathfinder, plate B 23456. No cancel button.</t>
  </si>
  <si>
    <t>MYB-008</t>
  </si>
  <si>
    <t>1. Click View on FB-0002 (Broadcasting) or FB-0001.</t>
  </si>
  <si>
    <t>Notice: 'We have your request and are finding you a driver. We will e-mail you as soon as one accepts.' No driver or vehicle details are shown.</t>
  </si>
  <si>
    <t>MYB-009</t>
  </si>
  <si>
    <t>1. Click View on FB-0003 (Awaiting Coordinator).</t>
  </si>
  <si>
    <t>Amber notice that the Transportation Coordinator is assigning someone and the booking has not been lost. Items row shows 'Equipment'.</t>
  </si>
  <si>
    <t>MYB-010</t>
  </si>
  <si>
    <t>1. Click View on FB-0006 (Cancelled).</t>
  </si>
  <si>
    <t>Notice 'Cancelled: Meeting moved to Teams.' No cancel button.</t>
  </si>
  <si>
    <t>MYB-011</t>
  </si>
  <si>
    <t>Privacy</t>
  </si>
  <si>
    <t>A request that is not yet allocated.</t>
  </si>
  <si>
    <t>1. Select it and read the detail panel.</t>
  </si>
  <si>
    <t>No driver name, phone, vehicle or any availability information is shown before a driver has accepted.</t>
  </si>
  <si>
    <t>MYB-012</t>
  </si>
  <si>
    <t>Cancel - direct</t>
  </si>
  <si>
    <t>A request of yours in Submitted, Held or Awaiting Coordinator (for example a fresh advance booking).</t>
  </si>
  <si>
    <t>1. Select it and click 'Cancel this booking'.
2. Read the dialog.</t>
  </si>
  <si>
    <t>- Dialog 'Cancel this booking?' lists three consequences (request closed, open offers withdrawn, you must book again).
- 'Cancel the booking' is disabled until a reason is typed.</t>
  </si>
  <si>
    <t>MYB-013</t>
  </si>
  <si>
    <t>MYB-012 dialog open.</t>
  </si>
  <si>
    <t>1. Type a reason and click 'Cancel the booking'.
2. Open the request row and its RideOffers.</t>
  </si>
  <si>
    <t>- Green notice 'Your booking was cancelled.' The row's badge becomes Cancelled.
- List: ReqStatus = Cancelled, CancellationReason = your text. Any Pending offers are now Withdrawn.</t>
  </si>
  <si>
    <t>MYB-014</t>
  </si>
  <si>
    <t>Cancel dialog open.</t>
  </si>
  <si>
    <t>1. Click in the reason box, type nothing, click outside it.</t>
  </si>
  <si>
    <t>'A reason is required.' appears and the confirm button stays disabled.</t>
  </si>
  <si>
    <t>MYB-015</t>
  </si>
  <si>
    <t>1. Click Cancel in the dialog.</t>
  </si>
  <si>
    <t>The dialog closes and nothing changes.</t>
  </si>
  <si>
    <t>MYB-016</t>
  </si>
  <si>
    <t>Cancel - after acceptance</t>
  </si>
  <si>
    <t>A request of yours that is Allocated.</t>
  </si>
  <si>
    <t>1. Select it. Read the button.
2. Click it and read the dialog.
3. Type a reason and click 'Send the request'.
4. Check the request, the trip and TripStatusHistory.</t>
  </si>
  <si>
    <t>- The button reads 'Ask to cancel', not 'Cancel this booking'.
- Dialog 'Ask the Coordinator to cancel?' explains that only the Coordinator can cancel now.
- Notice: 'A driver has already accepted this trip, so the Transportation Coordinator has been asked to cancel it. Your driver stays assigned until they do.'
- Request stays Allocated and the trip is unchanged. A TripStatusHistory row is added with the comment 'Cancellation requested by the requester: &lt;reason&gt;'.</t>
  </si>
  <si>
    <t>MYB-017</t>
  </si>
  <si>
    <t>Cancel - while Broadcasting</t>
  </si>
  <si>
    <t>A request of yours that is Broadcasting (no driver has accepted).</t>
  </si>
  <si>
    <t>1. Select it and note the button label.
2. Use it, give a reason and confirm.
3. Check the request row, RideOffers and TripStatusHistory.</t>
  </si>
  <si>
    <t>Design intent (ARCHITECTURE section 5): a request with no driver yet should be cancellable. Record the button label, the message shown, and whether anything at all was written to the lists.</t>
  </si>
  <si>
    <t>MYB-018</t>
  </si>
  <si>
    <t>Cancel - no button</t>
  </si>
  <si>
    <t>1. Select requests that are Completed, Rejected and Cancelled in turn.</t>
  </si>
  <si>
    <t>No cancel button is offered for any of them.</t>
  </si>
  <si>
    <t>MYB-019</t>
  </si>
  <si>
    <t>Auto refresh</t>
  </si>
  <si>
    <t>MyBookings.aspx open on an Allocated request.</t>
  </si>
  <si>
    <t>1. Have the driver tap the next status.
2. Do not touch My Bookings; wait up to 30 seconds.</t>
  </si>
  <si>
    <t>The timeline and the grid update on their own within the refresh interval.</t>
  </si>
  <si>
    <t>MYB-020</t>
  </si>
  <si>
    <t>Refresh</t>
  </si>
  <si>
    <t>1. Change a request's status in the list by hand.
2. Click Refresh.</t>
  </si>
  <si>
    <t>The grid shows the new status immediately.</t>
  </si>
  <si>
    <t>MYB-021</t>
  </si>
  <si>
    <t>Rejected notice</t>
  </si>
  <si>
    <t>A request the Coordinator rejected (DSP-027).</t>
  </si>
  <si>
    <t>1. Select it in My Bookings.</t>
  </si>
  <si>
    <t>Notice 'This request was declined: &lt;the Coordinator's reason&gt;'. Badge Rejected.</t>
  </si>
  <si>
    <t>MYB-022</t>
  </si>
  <si>
    <t>Other people's bookings</t>
  </si>
  <si>
    <t>TESTER has bookings; PLAIN has one of its own.</t>
  </si>
  <si>
    <t>Only PLAIN's own requests are listed.</t>
  </si>
  <si>
    <t>MYB-023</t>
  </si>
  <si>
    <t>Edit MyBookings.aspx.</t>
  </si>
  <si>
    <t>1. Open the property pane.
2. Lower the history count and change the refresh seconds.
3. Save and reload.</t>
  </si>
  <si>
    <t>The grid shows at most the chosen number of requests and refreshes at the chosen interval.</t>
  </si>
  <si>
    <t>DRV-001</t>
  </si>
  <si>
    <t>TESTER is linked to Rashid Al Mansoori.</t>
  </si>
  <si>
    <t>1. Open Driver.aspx.</t>
  </si>
  <si>
    <t>- Heading 'Driver dashboard', caption 'Signed in as &lt;your name&gt;. Offers refresh automatically.'
- Buttons 'Sound: off' and 'Refresh now'.
- Three sections: Open offers, My trips today, Completed today.
- Footer note: the page checks every 20 seconds and a missed offer goes to the Coordinator.</t>
  </si>
  <si>
    <t>DRV-002</t>
  </si>
  <si>
    <t>Offer banner</t>
  </si>
  <si>
    <t>At least one open offer.</t>
  </si>
  <si>
    <t>1. Read the banner at the top.</t>
  </si>
  <si>
    <t>A dark banner shows the number of open offers and 'open ride offer(s) waiting for you. First to accept gets the trip.' With sound off it adds 'Turn sound on to be alerted next time.'</t>
  </si>
  <si>
    <t>DRV-003</t>
  </si>
  <si>
    <t>Offer card</t>
  </si>
  <si>
    <t>Seeded offer FB-0002.</t>
  </si>
  <si>
    <t>1. Read the offer card.</t>
  </si>
  <si>
    <t>- Reference FB-0002 and a live countdown ('NN min SS s left') that ticks every second.
- Destination with 'from &lt;pickup&gt;', When, Type, Vehicle, Passengers 3, Requested by &lt;name&gt;.
- Buttons Accept and Reject.
- The requester's phone number is NOT shown.</t>
  </si>
  <si>
    <t>DRV-004</t>
  </si>
  <si>
    <t>A van driver</t>
  </si>
  <si>
    <t>An open offer for an Items or Documents request.</t>
  </si>
  <si>
    <t>1. Read the card.</t>
  </si>
  <si>
    <t>The card shows 'Items: &lt;description&gt;' instead of a passenger count.</t>
  </si>
  <si>
    <t>DRV-005</t>
  </si>
  <si>
    <t>Tab title</t>
  </si>
  <si>
    <t>Open offers exist.</t>
  </si>
  <si>
    <t>1. Switch to another browser tab and read the Driver tab's title.
2. Clear the offers (reject them) and read it again.</t>
  </si>
  <si>
    <t>Title reads '(1) New ride offer' or '(2) New ride offers'. It returns to the normal page title when there are none.</t>
  </si>
  <si>
    <t>DRV-006</t>
  </si>
  <si>
    <t>Sound</t>
  </si>
  <si>
    <t>Speakers on.</t>
  </si>
  <si>
    <t>1. Click 'Sound: off'.
2. Reload the page.</t>
  </si>
  <si>
    <t>A two-tone chime plays at once and the button reads 'Sound: on'. The setting is remembered after reload.</t>
  </si>
  <si>
    <t>DRV-007</t>
  </si>
  <si>
    <t>Sound on, Driver.aspx open.</t>
  </si>
  <si>
    <t>1. From another browser, book a ride that this driver is eligible for.
2. Wait up to 20 seconds.</t>
  </si>
  <si>
    <t>The chime plays when the offer count goes up. It does not play again on later polls while the count stays the same.</t>
  </si>
  <si>
    <t>DRV-008</t>
  </si>
  <si>
    <t>Driver.aspx open, no interaction.</t>
  </si>
  <si>
    <t>1. Book an eligible ride from another browser.
2. Time how long until the card appears.</t>
  </si>
  <si>
    <t>The new card and the banner count appear within about 20 seconds without a reload.</t>
  </si>
  <si>
    <t>DRV-009</t>
  </si>
  <si>
    <t>1. Click 'Refresh now' straight after a new offer is created.</t>
  </si>
  <si>
    <t>The offer appears immediately.</t>
  </si>
  <si>
    <t>DRV-010</t>
  </si>
  <si>
    <t>Countdown</t>
  </si>
  <si>
    <t>An open offer with under 2 minutes left (book against a 5-minute rule and wait).</t>
  </si>
  <si>
    <t>1. Watch the card through the last minute and past zero.</t>
  </si>
  <si>
    <t>- The countdown is highlighted as urgent at 60 seconds or less.
- At 0 the Accept button is disabled.
- On the next poll the card disappears, even though the offer row is still Pending in the list.</t>
  </si>
  <si>
    <t>DRV-011</t>
  </si>
  <si>
    <t>Empty state</t>
  </si>
  <si>
    <t>No open offers, no trips.</t>
  </si>
  <si>
    <t>1. Read the three sections.</t>
  </si>
  <si>
    <t>'No open offers' (with the 20-second note), 'No trips assigned to you right now', 'Nothing finished yet today'.</t>
  </si>
  <si>
    <t>DRV-012</t>
  </si>
  <si>
    <t>Accept</t>
  </si>
  <si>
    <t>A fresh Broadcasting request for Kicks / Creta or Pathfinder from Dubai, with a free vehicle (ALC-001).</t>
  </si>
  <si>
    <t>1. Click Accept on its card.
2. Check TransportRequests, TripAssignments, RideOffers, DriversMaster, VehicleMaster and TripStatusHistory.</t>
  </si>
  <si>
    <t>- The button reads 'Accepting…'. The card leaves Open offers and a trip card with badge Assigned appears under My trips today, with the note to tap On my way when you set off.
- Request: ReqStatus = Allocated, AcceptedTrip set.
- Trip: Title TR-00nn, TripStatus Assigned, AllocationMode Automatic, IsOverride No, AcceptedOn = now, driver and vehicle set.
- Your offer: Accepted, RespondedOn set, Vehicle set. Every other Pending offer for the request: Closed (not Expired).
- Driver Status = On Trip. Vehicle VehStatus = On Trip.
- History row: ToStatus Assigned, comment 'Accepted from broadcast. Ref &lt;id&gt;'.</t>
  </si>
  <si>
    <t>DRV-013</t>
  </si>
  <si>
    <t>Accept - default vehicle</t>
  </si>
  <si>
    <t>DRIVER-B</t>
  </si>
  <si>
    <t>DRIVER-B = Suresh Nair. A Broadcasting Pathfinder request from Dubai. B 23456 is free.</t>
  </si>
  <si>
    <t>1. Accept as DRIVER-B.
2. Read the trip's Vehicle.</t>
  </si>
  <si>
    <t>Vehicle = B 23456, because it is Suresh's default vehicle and it is free.</t>
  </si>
  <si>
    <t>DRV-014</t>
  </si>
  <si>
    <t>Accept - no vehicle</t>
  </si>
  <si>
    <t>Fresh seed. FB-0002 (Patrol, Dubai) is on offer while A 12345, the only Dubai Patrol, is on FB-0004's open trip.</t>
  </si>
  <si>
    <t>1. Click Accept on FB-0002.
2. Read the notice exactly.
3. Check the request row.</t>
  </si>
  <si>
    <t>- Nothing is assigned. The request stays Broadcasting and the card is removed.
- A plain notice (not a red error) is shown. Record its exact wording: the reason here is that no vehicle is free, so it should not tell the driver that another driver took the trip.</t>
  </si>
  <si>
    <t>DRV-015</t>
  </si>
  <si>
    <t>Accept - race</t>
  </si>
  <si>
    <t>Both drivers have the same open offer on screen in two browsers.</t>
  </si>
  <si>
    <t>1. Count down and click Accept in both browsers at the same moment.
2. Check TripAssignments for that request.</t>
  </si>
  <si>
    <t>- Exactly one driver gets the trip.
- The other sees a plain notice 'Taken by another driver. Another driver accepted that trip first. Nothing has been assigned to you.' with a Dismiss button, and the card disappears. No red error banner.
- Exactly one TripAssignments row exists for the request. Repeat this test at least five times.</t>
  </si>
  <si>
    <t>DRV-016</t>
  </si>
  <si>
    <t>Accept - already taken</t>
  </si>
  <si>
    <t>Both drivers have the same offer on screen. Do not refresh the second browser.</t>
  </si>
  <si>
    <t>1. Driver 1 accepts.
2. Ten seconds later driver 2 clicks Accept on the stale card.</t>
  </si>
  <si>
    <t>Driver 2 gets 'This offer is no longer open' or 'Taken by another driver' as a plain notice, and the card is removed. No second trip is created.</t>
  </si>
  <si>
    <t>DRV-017</t>
  </si>
  <si>
    <t>Accept - double click</t>
  </si>
  <si>
    <t>An open offer.</t>
  </si>
  <si>
    <t>1. Double-click Accept quickly.</t>
  </si>
  <si>
    <t>The button disables after the first click. Only one trip is created.</t>
  </si>
  <si>
    <t>DRV-018</t>
  </si>
  <si>
    <t>Reject</t>
  </si>
  <si>
    <t>1. Click Reject.
2. Read the dialog.</t>
  </si>
  <si>
    <t>- Dialog 'Reject this offer?' lists three consequences.
- Reason is a dropdown: Already on a trip, Vehicle unavailable, Outside my shift, Personal reason, Other. There is no free-text reason.
- 'Reject the offer' is disabled until a reason is chosen.</t>
  </si>
  <si>
    <t>DRV-019</t>
  </si>
  <si>
    <t>Reject dialog open.</t>
  </si>
  <si>
    <t>1. Choose 'Outside my shift' and confirm.
2. Check the offer row and the request row.</t>
  </si>
  <si>
    <t>- The card disappears and the banner count drops.
- Offer: ResponseStatus Rejected, RejectionReason 'Outside my shift', RespondedOn set.
- Request ReqStatus is unchanged (still Broadcasting). Other drivers still see their cards.</t>
  </si>
  <si>
    <t>DRV-020</t>
  </si>
  <si>
    <t>Reject - Other</t>
  </si>
  <si>
    <t>1. Choose 'Other'.
2. Try to confirm with the note empty.
3. Type 'Vehicle has a flat tyre' and confirm.
4. Check the offer row.</t>
  </si>
  <si>
    <t>- A 'Please explain' box appears and is required: 'A note is required when the reason is Other.'
- Offer: RejectionReason 'Other', RejectionNotes 'Vehicle has a flat tyre'.</t>
  </si>
  <si>
    <t>DRV-021</t>
  </si>
  <si>
    <t>1. Reject with 'Other' and the note: Late: stuck at the airport
2. Read RejectionNotes on the offer row.</t>
  </si>
  <si>
    <t>The whole note should be stored. Record what RejectionNotes actually contains.</t>
  </si>
  <si>
    <t>DRV-022</t>
  </si>
  <si>
    <t>Reject - all decline</t>
  </si>
  <si>
    <t>Yes</t>
  </si>
  <si>
    <t>Both offered drivers have the request on screen.</t>
  </si>
  <si>
    <t>1. Both reject it.
2. Check the request row now, and again after the offer window has passed.</t>
  </si>
  <si>
    <t>Straight away the request still reads Broadcasting. It only moves to Awaiting Coordinator when Flow 2 (Expire offers) runs after the window closes. Without Flow 2 it stays Broadcasting.</t>
  </si>
  <si>
    <t>DRV-023</t>
  </si>
  <si>
    <t>Tap 1 - On my way</t>
  </si>
  <si>
    <t>A trip card with status Assigned.</t>
  </si>
  <si>
    <t>1. Leave 'Opening odometer reading' empty.
2. Click 'On my way'.</t>
  </si>
  <si>
    <t>Red banner: 'Enter the opening odometer reading before tapping On my way.' The trip stays Assigned.</t>
  </si>
  <si>
    <t>DRV-024</t>
  </si>
  <si>
    <t>1. Enter 50000 and click 'On my way'.
2. Check the trip row and TripStatusHistory.</t>
  </si>
  <si>
    <t>- Badge becomes En Route. The next button reads 'Picked up' and there is no odometer field.
- Trip: TripStatus En Route, ActualStartTime = now, OpeningReading = 50000.
- History row Assigned to En Route.</t>
  </si>
  <si>
    <t>DRV-025</t>
  </si>
  <si>
    <t>Tap 2 - Picked up</t>
  </si>
  <si>
    <t>A trip that is En Route.</t>
  </si>
  <si>
    <t>1. Click 'Picked up'.
2. Check the trip row.</t>
  </si>
  <si>
    <t>Badge becomes In Transit. ActualPickupTime = now. A 'Closing odometer reading' field appears and the button reads 'Complete'.</t>
  </si>
  <si>
    <t>DRV-026</t>
  </si>
  <si>
    <t>Tap 3 - Complete</t>
  </si>
  <si>
    <t>A trip that is In Transit.</t>
  </si>
  <si>
    <t>1. Leave the closing reading empty and click Complete.</t>
  </si>
  <si>
    <t>Red banner: 'Enter the closing odometer reading before tapping Complete.' The trip stays In Transit.</t>
  </si>
  <si>
    <t>DRV-027</t>
  </si>
  <si>
    <t>A trip that is In Transit with opening reading 50000.</t>
  </si>
  <si>
    <t>1. Enter 50042 and click Complete.
2. Check the trip, the request, the driver and the vehicle rows.</t>
  </si>
  <si>
    <t>- The card moves to 'Completed today' showing the finish time and 'Distance 42 km'.
- Trip: TripStatus Completed, ActualDropTime = now, ClosingReading = 50042. History row In Transit to Completed.
- By design the web part does NOT set the request to Completed and does NOT free the driver or vehicle. Until Flow 3 runs, the request still reads Allocated and driver and vehicle still read On Trip.</t>
  </si>
  <si>
    <t>DRV-028</t>
  </si>
  <si>
    <t>1. Enter a closing reading lower than the opening one, for example 49000.
2. Click Complete.</t>
  </si>
  <si>
    <t>A closing reading below the opening reading should be refused. Record whether it is accepted and what distance is shown under Completed today.</t>
  </si>
  <si>
    <t>DRV-029</t>
  </si>
  <si>
    <t>Odometer input</t>
  </si>
  <si>
    <t>A trip waiting for an odometer reading.</t>
  </si>
  <si>
    <t>1. Try letters.
2. Try 12.9.
3. Try -5.</t>
  </si>
  <si>
    <t>Letters cannot be typed. Record what is stored for 12.9 and whether -5 is accepted.</t>
  </si>
  <si>
    <t>DRV-030</t>
  </si>
  <si>
    <t>Illegal transition</t>
  </si>
  <si>
    <t>The same Assigned trip open in two browser tabs.</t>
  </si>
  <si>
    <t>1. In tab 1 enter a reading and tap 'On my way'.
2. In tab 2, without refreshing, enter a reading and tap 'On my way'.</t>
  </si>
  <si>
    <t>Tab 2 gets an error like 'A trip that is En Route cannot be set to En Route.' The trip is not written twice. The order of statuses is enforced by the service, not only by which button is shown.</t>
  </si>
  <si>
    <t>DRV-031</t>
  </si>
  <si>
    <t>Cancel trip</t>
  </si>
  <si>
    <t>A trip you accepted, status Assigned.</t>
  </si>
  <si>
    <t>1. Click 'Cancel trip' and read the dialog.
2. Type a reason and click 'Cancel the trip'.
3. Check the trip, request, driver, vehicle and history rows.</t>
  </si>
  <si>
    <t>- Dialog 'Cancel this trip?' lists four consequences. A reason is required.
- The card disappears from My trips today.
- Trip: TripStatus Cancelled, CancellationReason = your text.
- Request: ReqStatus = Awaiting Coordinator (NOT Cancelled, and not broadcast again).
- Driver Status = Available. Vehicle VehStatus = Available.
- History row with comment 'Cancelled by the driver: &lt;reason&gt;'.</t>
  </si>
  <si>
    <t>DRV-032</t>
  </si>
  <si>
    <t>A trip that is In Transit (passenger on board).</t>
  </si>
  <si>
    <t>1. Look for the 'Cancel trip' button and use it.</t>
  </si>
  <si>
    <t>Record whether a driver can cancel a trip that is already In Transit, and what happens to the request.</t>
  </si>
  <si>
    <t>DRV-033</t>
  </si>
  <si>
    <t>Manual assignment</t>
  </si>
  <si>
    <t>The Coordinator assigns a request to Rashid by hand (DSP-019).</t>
  </si>
  <si>
    <t>1. Open Driver.aspx as the assigned driver.</t>
  </si>
  <si>
    <t>The trip is already under My trips today as Assigned. There was no offer card and no Accept button for it.</t>
  </si>
  <si>
    <t>DRV-034</t>
  </si>
  <si>
    <t>Two trips</t>
  </si>
  <si>
    <t>Rashid (cap 2) holds two open trips.</t>
  </si>
  <si>
    <t>1. Open Driver.aspx.
2. Enter a reading on one card only.</t>
  </si>
  <si>
    <t>Both trip cards are shown, earliest required time first. Each card has its own odometer field; typing in one does not fill the other.</t>
  </si>
  <si>
    <t>DRV-035</t>
  </si>
  <si>
    <t>Driver.aspx open.</t>
  </si>
  <si>
    <t>1. Go offline in DevTools.
2. Wait for a poll, then click Accept or a status button.
3. Go back online.</t>
  </si>
  <si>
    <t>A red error banner names what failed, what to do, and shows a 'Reference:' id. It can be dismissed. The page recovers on the next poll.</t>
  </si>
  <si>
    <t>DRV-036</t>
  </si>
  <si>
    <t>Edit Driver.aspx.</t>
  </si>
  <si>
    <t>1. Open the property pane and change the poll seconds.
2. Save and reload.</t>
  </si>
  <si>
    <t>The 'No open offers' text and the footer note show the new interval, and polling follows it.</t>
  </si>
  <si>
    <t>DSP-001</t>
  </si>
  <si>
    <t>- Heading 'Dispatch dashboard', caption 'Last refreshed hh:mm. Counters filter the grids below.', Refresh button.
- Six counters, then Ongoing trips grid, Pending requests grid, Availability panel with Drivers and Vehicles tabs.</t>
  </si>
  <si>
    <t>DSP-002</t>
  </si>
  <si>
    <t>Counters</t>
  </si>
  <si>
    <t>Fresh seed, nothing else booked.</t>
  </si>
  <si>
    <t>1. Read the six counters.</t>
  </si>
  <si>
    <t>- Ongoing trips 1 (FB-0004). Pending requests 3 (FB-0001, FB-0002, FB-0003). Completed trips 1. Allocated pairs 1.
- Available drivers and Available vehicles: TESTING.md says 3 and 5. From the code, with TESTER scoped to both properties, the figures should be 5 drivers (all active except Ali Hassan on leave) and 6 vehicles (8 minus E 56789 under maintenance and A 12345 on a trip). Record the actual numbers.</t>
  </si>
  <si>
    <t>DSP-003</t>
  </si>
  <si>
    <t>Escalations</t>
  </si>
  <si>
    <t>FB-0003 is Awaiting Coordinator.</t>
  </si>
  <si>
    <t>1. Read the notice above the counters and the first row of Pending requests.</t>
  </si>
  <si>
    <t>- Amber notice '1 request need allocating...' and that they are pinned to the top.
- FB-0003 is the first row, with an amber edge AND the badge text 'Awaiting Coordinator'.</t>
  </si>
  <si>
    <t>DSP-004</t>
  </si>
  <si>
    <t>Ongoing grid</t>
  </si>
  <si>
    <t>FB-0004 is En Route.</t>
  </si>
  <si>
    <t>1. Read the Ongoing trips row.</t>
  </si>
  <si>
    <t>Columns ID, Pickup, Destination, Driver, Vehicle, Status, ETA. Row: FB-0004, Marina Staff Residence, Dubai Head Office, Rashid Al Mansoori, A 12345, badge En Route, ETA 'approx. 12 min · N minutes ago'.</t>
  </si>
  <si>
    <t>DSP-005</t>
  </si>
  <si>
    <t>A trip with status Assigned (accepted, driver not yet moving).</t>
  </si>
  <si>
    <t>1. Look for it in Ongoing trips and in the counters.</t>
  </si>
  <si>
    <t>It is not listed under Ongoing trips (that grid is En Route and In Transit only), but it does count in Allocated pairs and makes its vehicle unavailable.</t>
  </si>
  <si>
    <t>DSP-006</t>
  </si>
  <si>
    <t>Pending grid</t>
  </si>
  <si>
    <t>1. Read the Pending requests grid.</t>
  </si>
  <si>
    <t>Columns ID, Date and time, Request type, Vehicle type, Status, Actions (Assign, Reject, Cancel). Escalated rows first, then oldest first.</t>
  </si>
  <si>
    <t>DSP-007</t>
  </si>
  <si>
    <t>A Held advance booking exists (ALC-011).</t>
  </si>
  <si>
    <t>1. Look for it in the Pending requests grid.</t>
  </si>
  <si>
    <t>Record whether Held requests are visible to the Coordinator anywhere on this page.</t>
  </si>
  <si>
    <t>DSP-008</t>
  </si>
  <si>
    <t>Counter as filter</t>
  </si>
  <si>
    <t>1. Click 'Ongoing trips'.
2. Click it again.
3. Click 'Pending requests'.
4. Click it again.</t>
  </si>
  <si>
    <t>- Ongoing: the Pending requests grid is hidden. Clicking again brings it back.
- Pending: the Ongoing trips grid is hidden. Clicking again brings it back.
- The active counter is visibly marked.</t>
  </si>
  <si>
    <t>DSP-009</t>
  </si>
  <si>
    <t>1. Click 'Available drivers'.
2. Click 'Available vehicles'.</t>
  </si>
  <si>
    <t>The Availability panel switches to the Drivers tab, then to the Vehicles tab.</t>
  </si>
  <si>
    <t>DSP-010</t>
  </si>
  <si>
    <t>1. Click 'Completed trips'.
2. Click 'Allocated pairs'.</t>
  </si>
  <si>
    <t>The design says every counter filters the grids. Record what, if anything, changes on screen for these two.</t>
  </si>
  <si>
    <t>DSP-011</t>
  </si>
  <si>
    <t>Completed period</t>
  </si>
  <si>
    <t>1. Open the 'Completed counter period' dropdown.
2. Choose 'Last 2 months'.
3. Read the dropdown's label afterwards.
4. Try to go back to 'This month'.</t>
  </si>
  <si>
    <t>The Completed trips counter should cover the chosen period, the dropdown should show the chosen option, and it should be possible to return to This month. Record what the dropdown shows after each choice.</t>
  </si>
  <si>
    <t>DSP-012</t>
  </si>
  <si>
    <t>Column filters</t>
  </si>
  <si>
    <t>1. In Pending requests click the Status header.
2. Tick 'Broadcasting'.
3. Press Escape.
4. Also filter Request type.
5. Click Clear in each.</t>
  </si>
  <si>
    <t>- The popup lists only the values present in that column, as checkboxes.
- Escape and clicking outside close it. The header shows '▼ filtered (1)'.
- Two column filters combine (both must match). Clear removes the filter.</t>
  </si>
  <si>
    <t>DSP-013</t>
  </si>
  <si>
    <t>Availability - drivers</t>
  </si>
  <si>
    <t>1. Open the Drivers tab.</t>
  </si>
  <si>
    <t>- Tab label 'Drivers (6)'. Columns Driver, Status, Current task, Cap, Property.
- Rashid: On Trip, current task 'Dubai Head Office (1 open)', cap 2. Ali Hassan: On Leave. Others: Available, task None.</t>
  </si>
  <si>
    <t>DSP-014</t>
  </si>
  <si>
    <t>Availability - vehicles</t>
  </si>
  <si>
    <t>1. Open the Vehicles tab.</t>
  </si>
  <si>
    <t>- Tab label 'Vehicles (8)'. Columns Plate, Vehicle, Type, Status, Current task.
- E 56789 reads Under Maintenance. A 12345 reads On Trip with current task 'Dubai Head Office'.</t>
  </si>
  <si>
    <t>DSP-015</t>
  </si>
  <si>
    <t>Set VehStatus = Retired on one vehicle.</t>
  </si>
  <si>
    <t>1. Refresh and open the Vehicles tab.</t>
  </si>
  <si>
    <t>The retired vehicle is not listed and the tab count drops by one. Set it back afterwards.</t>
  </si>
  <si>
    <t>DSP-016</t>
  </si>
  <si>
    <t>Dispatch.aspx open.</t>
  </si>
  <si>
    <t>1. Book a new ride from another browser.
2. Wait up to 60 seconds without touching the page.</t>
  </si>
  <si>
    <t>The new request appears, counters change and 'Last refreshed' moves on. The Refresh button does the same at once.</t>
  </si>
  <si>
    <t>DSP-017</t>
  </si>
  <si>
    <t>Assign panel</t>
  </si>
  <si>
    <t>FB-0003 is Awaiting Coordinator with two Rejected offers.</t>
  </si>
  <si>
    <t>1. Click Assign on FB-0003.</t>
  </si>
  <si>
    <t>- Panel 'Assign FB-0003' with route, time and vehicle type.
- Amber notice listing who declined and why: 'Mohammed Iqbal declined: Already on a trip' and 'Arun Prasad declined: Other — Forklift licence expired, cannot load pallets.'
- A Driver list and a Vehicle list, each entry with a status badge.</t>
  </si>
  <si>
    <t>DSP-018</t>
  </si>
  <si>
    <t>Assign panel - verdicts</t>
  </si>
  <si>
    <t>Assign panel open for FB-0003 (Cargo Van).</t>
  </si>
  <si>
    <t>1. Read the text beside every driver.
2. Read the text beside every vehicle.</t>
  </si>
  <si>
    <t>- Drivers: Mohammed Iqbal and Arun Prasad '· eligible'. Passenger-only drivers '· Not qualified for this vehicle type'.
- Ali Hassan should carry a verdict that he is on leave during the trip window (TESTING.md walkthrough C). Record what his line actually says.
- Vehicles: D 45678 has no warning. Others read '· different vehicle type'. A 12345 also reads '· on an open trip'.</t>
  </si>
  <si>
    <t>DSP-019</t>
  </si>
  <si>
    <t>Assign - in policy</t>
  </si>
  <si>
    <t>Assign panel open for FB-0003.</t>
  </si>
  <si>
    <t>1. Select Mohammed Iqbal and vehicle D 45678.
2. Click Assign.
3. Check the request, trip, driver, vehicle and history rows.</t>
  </si>
  <si>
    <t>- No override box appears. The Assign button is enabled once both are chosen.
- The panel closes and FB-0003 leaves Pending requests.
- Request: Allocated, AcceptedTrip set. Trip: TR-00nn, Assigned, AllocationMode Manual, AllocatedBy = you, IsOverride No.
- Driver On Trip, vehicle On Trip. History comment 'Assigned manually. Ref &lt;id&gt;'.</t>
  </si>
  <si>
    <t>DSP-020</t>
  </si>
  <si>
    <t>Assign - override driver</t>
  </si>
  <si>
    <t>Assign panel open for a Cargo Van request.</t>
  </si>
  <si>
    <t>1. Select a driver marked 'Not qualified for this vehicle type' and a correct vehicle.
2. Try Assign with the reason empty.
3. Type a reason and click Assign.
4. Check the trip row.</t>
  </si>
  <si>
    <t>- Amber notice 'This is an out-of-policy assignment...' and a required 'Override reason' box appear.
- Assign stays disabled until a reason is typed.
- Trip: IsOverride Yes, OverrideReason = your text.</t>
  </si>
  <si>
    <t>DSP-021</t>
  </si>
  <si>
    <t>Assign - override vehicle</t>
  </si>
  <si>
    <t>Assign panel open.</t>
  </si>
  <si>
    <t>1. Select an eligible driver and a vehicle marked 'different vehicle type'.</t>
  </si>
  <si>
    <t>The override reason box appears and is required.</t>
  </si>
  <si>
    <t>DSP-022</t>
  </si>
  <si>
    <t>1. Select an eligible driver and a vehicle marked 'on an open trip'.</t>
  </si>
  <si>
    <t>DSP-023</t>
  </si>
  <si>
    <t>Assign - driver on Assigned trip</t>
  </si>
  <si>
    <t>A cap-1 driver holds a trip in status Assigned (not yet En Route).</t>
  </si>
  <si>
    <t>1. Open the Assign panel for another request.
2. Read that driver's verdict.</t>
  </si>
  <si>
    <t>The driver should be marked 'Already at the concurrent-trip cap'. Record what is shown.</t>
  </si>
  <si>
    <t>DSP-024</t>
  </si>
  <si>
    <t>Assign - during broadcast</t>
  </si>
  <si>
    <t>A Broadcasting request with Pending offers; a driver has the card on screen.</t>
  </si>
  <si>
    <t>1. Click Assign on it and assign a driver and vehicle.
2. Check RideOffers.
3. Look at the other driver's dashboard after 20 seconds.</t>
  </si>
  <si>
    <t>- All Pending offers become Withdrawn (not Closed, not Expired).
- The card disappears from the other drivers' dashboards.
- The chosen driver sees the trip under My trips today with no Accept step.</t>
  </si>
  <si>
    <t>DSP-025</t>
  </si>
  <si>
    <t>Assign - stale</t>
  </si>
  <si>
    <t>Dispatch.aspx open and not refreshed. A driver accepts the request meanwhile.</t>
  </si>
  <si>
    <t>1. Click Assign on the stale row, choose driver and vehicle, click Assign.</t>
  </si>
  <si>
    <t>Error 'This request has already been allocated.' No second trip is created.</t>
  </si>
  <si>
    <t>DSP-026</t>
  </si>
  <si>
    <t>1. Click Close (top) or Cancel (bottom).</t>
  </si>
  <si>
    <t>The panel closes and nothing is written.</t>
  </si>
  <si>
    <t>DSP-027</t>
  </si>
  <si>
    <t>Reject request</t>
  </si>
  <si>
    <t>A pending request.</t>
  </si>
  <si>
    <t>1. Click Reject on its row and read the dialog.
2. Type a reason and confirm.
3. Check the request row and its offers.
4. Open it in My Bookings as the requester.</t>
  </si>
  <si>
    <t>- Dialog 'Reject this request?' names the request and lists three consequences. A reason is required.
- The row leaves the grid. Request: Rejected, RejectionReason = your text. Pending offers: Withdrawn.
- My Bookings shows 'This request was declined: &lt;reason&gt;'.</t>
  </si>
  <si>
    <t>DSP-028</t>
  </si>
  <si>
    <t>1. Click Reject on the stale row, give a reason, confirm.</t>
  </si>
  <si>
    <t>Error 'An allocated request cannot be rejected - cancel it instead.' Nothing changes.</t>
  </si>
  <si>
    <t>DSP-029</t>
  </si>
  <si>
    <t>Cancel request</t>
  </si>
  <si>
    <t>A pending request with Pending offers.</t>
  </si>
  <si>
    <t>1. Click Cancel on its row and read the dialog.
2. Type a reason and confirm.
3. Check the request row and its offers.</t>
  </si>
  <si>
    <t>- Dialog 'Cancel this request?' lists four consequences. A reason is required.
- Request: Cancelled, CancellationReason = your text. Pending offers: Withdrawn.</t>
  </si>
  <si>
    <t>DSP-030</t>
  </si>
  <si>
    <t>Cancel allocated request</t>
  </si>
  <si>
    <t>An Allocated request with a trip under way. The requester has used 'Ask to cancel' (MYB-016).</t>
  </si>
  <si>
    <t>1. On Dispatch.aspx look for any way to cancel this allocated request or its trip.</t>
  </si>
  <si>
    <t>ARCHITECTURE section 8 says the Coordinator can cancel a request and its trip, freeing driver and vehicle. Record whether the dashboard offers this for a request that is already Allocated.</t>
  </si>
  <si>
    <t>DSP-031</t>
  </si>
  <si>
    <t>Reassign</t>
  </si>
  <si>
    <t>A trip that is Assigned or En Route.</t>
  </si>
  <si>
    <t>1. On Dispatch.aspx look for a Reassign action on the trip.</t>
  </si>
  <si>
    <t>ARCHITECTURE section 8 describes Reassign (frees the old driver and vehicle, binds the new ones, keeps the trip status, records a reason). Record whether the action exists in the interface.</t>
  </si>
  <si>
    <t>DSP-032</t>
  </si>
  <si>
    <t>Set ETA</t>
  </si>
  <si>
    <t>A trip in Ongoing trips.</t>
  </si>
  <si>
    <t>1. Look for a way to set or change the ETA.</t>
  </si>
  <si>
    <t>ARCHITECTURE section 8 describes Set ETA (writes EtaMinutes and EtaUpdatedOn together, 0 to 600 minutes). Record whether the action exists in the interface.</t>
  </si>
  <si>
    <t>DSP-033</t>
  </si>
  <si>
    <t>After driver cancels</t>
  </si>
  <si>
    <t>A driver has cancelled an accepted trip (DRV-031).</t>
  </si>
  <si>
    <t>1. Refresh Dispatch.aspx.
2. Find the request and click Assign.</t>
  </si>
  <si>
    <t>The request is back in Pending requests, pinned, as Awaiting Coordinator. It can be assigned to another driver and vehicle. Record what the notice in the Assign panel says about why it escalated.</t>
  </si>
  <si>
    <t>DSP-034</t>
  </si>
  <si>
    <t>After Complete</t>
  </si>
  <si>
    <t>A driver has just tapped Complete (DRV-027). Flow 3 has not run or is not built.</t>
  </si>
  <si>
    <t>1. Refresh Dispatch.aspx.
2. Read the counters and the Availability tabs.</t>
  </si>
  <si>
    <t>Expected by design for up to 5 minutes: the trip leaves Ongoing trips, but the driver and vehicle still read On Trip, so Available drivers and Available vehicles are each one lower than reality.</t>
  </si>
  <si>
    <t>DSP-035</t>
  </si>
  <si>
    <t>A Submitted request exists.</t>
  </si>
  <si>
    <t>1. Open Dispatch.aspx and wait one refresh.</t>
  </si>
  <si>
    <t>The request moves to Broadcasting (or Awaiting Coordinator) without anyone clicking anything. See ALC-012.</t>
  </si>
  <si>
    <t>DSP-036</t>
  </si>
  <si>
    <t>1. Go offline in DevTools and click Refresh.
2. Go back online and click Refresh.</t>
  </si>
  <si>
    <t>A red banner says the dispatch dashboard could not be loaded and warns not to allocate from stale data, with a Reference id. It recovers when back online.</t>
  </si>
  <si>
    <t>DSP-037</t>
  </si>
  <si>
    <t>Edit Dispatch.aspx.</t>
  </si>
  <si>
    <t>1. Change the refresh seconds in the property pane.
2. Save and reload.</t>
  </si>
  <si>
    <t>The dashboard refreshes at the new interval.</t>
  </si>
  <si>
    <t>RPT-001</t>
  </si>
  <si>
    <t>1. Open Reports.aspx.</t>
  </si>
  <si>
    <t>- Heading 'Fleet reports'. Filter bar: From, To, Property, Request type, Vehicle type, Run report.
- Eight report buttons. 'No report has been run yet' until one is run.</t>
  </si>
  <si>
    <t>RPT-002</t>
  </si>
  <si>
    <t>Default range</t>
  </si>
  <si>
    <t>1. Read the default From and To dates.</t>
  </si>
  <si>
    <t>The default should be the current month: the 1st to the last day. Record the exact dates shown.</t>
  </si>
  <si>
    <t>RPT-003</t>
  </si>
  <si>
    <t>Trip summary</t>
  </si>
  <si>
    <t>Fresh seed data, all created today. Date range left on its default.</t>
  </si>
  <si>
    <t>1. Click 'Trip summary'.</t>
  </si>
  <si>
    <t>- Runs at once. Header shows '2 rows · generated &lt;time&gt; · live data'.
- Columns Trip, Request, Required, Driver, Vehicle, Status, Distance (km).
- One row for FB-0004 (Rashid, A 12345, En Route, no distance) and one for FB-0005 (Suresh Nair, B 23456, Completed, 42).</t>
  </si>
  <si>
    <t>RPT-004</t>
  </si>
  <si>
    <t>Vehicle utilisation</t>
  </si>
  <si>
    <t>1. Click 'Vehicle utilisation'.</t>
  </si>
  <si>
    <t>One row per vehicle used. B 23456: 1 trip, about 1.3 hours, 42 km. A 12345: 1 trip, 0 hours, 0 km (not finished).</t>
  </si>
  <si>
    <t>RPT-005</t>
  </si>
  <si>
    <t>Driver utilisation</t>
  </si>
  <si>
    <t>1. Click 'Driver utilisation'.</t>
  </si>
  <si>
    <t>One row per driver with Trips, Hours and Trips per day. Suresh Nair 1 trip about 1.3 hours; Rashid Al Mansoori 1 trip.</t>
  </si>
  <si>
    <t>RPT-006</t>
  </si>
  <si>
    <t>Request fulfilment</t>
  </si>
  <si>
    <t>Fresh seed data, all created today. Date range left on its default. FB-0001 may already be Broadcasting.</t>
  </si>
  <si>
    <t>1. Click 'Request fulfilment'.</t>
  </si>
  <si>
    <t>Measures: Raised 6, Allocated 2, Escalated to Coordinator 1, Rejected 0, Cancelled 1, Median minutes to allocate.</t>
  </si>
  <si>
    <t>RPT-007</t>
  </si>
  <si>
    <t>Broadcast effectiveness</t>
  </si>
  <si>
    <t>1. Click 'Broadcast effectiveness'.</t>
  </si>
  <si>
    <t>- A notice explains this is the report that proves the business case.
- Auto-allocated 2, Manually assigned 0, Escalated to Coordinator 1, Escalation rate 17 %, Median seconds to first accept 150.</t>
  </si>
  <si>
    <t>RPT-008</t>
  </si>
  <si>
    <t>Driver response behaviour</t>
  </si>
  <si>
    <t>1. Click 'Driver response behaviour'.</t>
  </si>
  <si>
    <t>- An amber notice about agreeing how the report will be used.
- Rashid Al Mansoori: offers 2, accepted 1. Suresh Nair: offers 3, accepted 1. Mohammed Iqbal: offers 1, rejected 1, reason 'Already on a trip'. Arun Prasad: offers 1, rejected 1, reason 'Other'.</t>
  </si>
  <si>
    <t>RPT-009</t>
  </si>
  <si>
    <t>Rejection and cancellation</t>
  </si>
  <si>
    <t>1. Click 'Rejection and cancellation analysis'.</t>
  </si>
  <si>
    <t>Three rows, each with count 1: 'Already on a trip', 'Other', 'Cancelled by requester or Coordinator'.</t>
  </si>
  <si>
    <t>RPT-010</t>
  </si>
  <si>
    <t>Demand by time and route</t>
  </si>
  <si>
    <t>1. Click 'Demand by time and route'.</t>
  </si>
  <si>
    <t>One row per hour of day (Gulf time) that has requests, with the request count and the most common route for that hour. The counts add up to 6.</t>
  </si>
  <si>
    <t>RPT-011</t>
  </si>
  <si>
    <t>Offer outcomes</t>
  </si>
  <si>
    <t>You have produced at least one Closed, one Withdrawn and (with Flow 2) one Expired offer during earlier tests.</t>
  </si>
  <si>
    <t>1. Run 'Driver response behaviour' and compare with the RideOffers list.</t>
  </si>
  <si>
    <t>Accepted, Rejected and Expired are counted in separate columns and match the list. Closed and Withdrawn offers count only towards 'Offers received'. No two outcomes are merged.</t>
  </si>
  <si>
    <t>RPT-012</t>
  </si>
  <si>
    <t>Filter - property</t>
  </si>
  <si>
    <t>At least one Abu Dhabi request exists (ALC-004).</t>
  </si>
  <si>
    <t>1. Set Property to 'Abu Dhabi Site'.
2. Click Run report on 'Request fulfilment'.</t>
  </si>
  <si>
    <t>Only Abu Dhabi requests are counted. The Property dropdown lists both properties.</t>
  </si>
  <si>
    <t>RPT-013</t>
  </si>
  <si>
    <t>Filter - request type</t>
  </si>
  <si>
    <t>1. Set Request type to 'Items or Documents'.
2. Run 'Request fulfilment'.</t>
  </si>
  <si>
    <t>Raised drops to the number of Items or Documents requests (1 on a fresh seed).</t>
  </si>
  <si>
    <t>RPT-014</t>
  </si>
  <si>
    <t>Filter - vehicle type</t>
  </si>
  <si>
    <t>1. Set Vehicle type to 'Patrol'.
2. Run 'Trip summary'.</t>
  </si>
  <si>
    <t>Only trips whose request asked for a Patrol are listed (FB-0004 on a fresh seed).</t>
  </si>
  <si>
    <t>RPT-015</t>
  </si>
  <si>
    <t>Range - too long</t>
  </si>
  <si>
    <t>1. Set From to 13 months before To.</t>
  </si>
  <si>
    <t>'The range cannot be longer than 12 months.' appears under To and Run report is disabled.</t>
  </si>
  <si>
    <t>RPT-016</t>
  </si>
  <si>
    <t>Range - end before start</t>
  </si>
  <si>
    <t>1. Set To to a date before From.
2. Click Run report.</t>
  </si>
  <si>
    <t>A red banner: 'The end date is not after the start date. Pick an end date later than the start date.' No results are shown.</t>
  </si>
  <si>
    <t>RPT-017</t>
  </si>
  <si>
    <t>Range - empty</t>
  </si>
  <si>
    <t>1. Clear the From date.
2. Click Run report.</t>
  </si>
  <si>
    <t>The report does not run with a blank date. An error message is shown rather than a blank page.</t>
  </si>
  <si>
    <t>RPT-018</t>
  </si>
  <si>
    <t>Range - no data</t>
  </si>
  <si>
    <t>1. Set a one-month range two years in the past.
2. Run 'Trip summary'.</t>
  </si>
  <si>
    <t>'0 rows' and the grid says 'No data for that period and those filters.'</t>
  </si>
  <si>
    <t>RPT-019</t>
  </si>
  <si>
    <t>Export - Excel</t>
  </si>
  <si>
    <t>A report with rows on screen.</t>
  </si>
  <si>
    <t>1. Click 'Export to Excel'.
2. Open the downloaded file.</t>
  </si>
  <si>
    <t>A file named &lt;ReportKey&gt;-&lt;yyyymmdd&gt;-&lt;hhmm&gt;.xls downloads and opens in Excel (Excel may warn that the format and extension differ). Header row is bold, the sheet is named after the report, numeric columns are numbers.</t>
  </si>
  <si>
    <t>RPT-020</t>
  </si>
  <si>
    <t>Export - CSV</t>
  </si>
  <si>
    <t>1. Click 'Export to CSV'.
2. Open it in Excel and in Notepad.</t>
  </si>
  <si>
    <t>A .csv file downloads with the same columns and rows as the screen. Values containing a comma or quote are wrapped in quotes.</t>
  </si>
  <si>
    <t>RPT-021</t>
  </si>
  <si>
    <t>Export - special characters</t>
  </si>
  <si>
    <t>A trip exists for a 'Kicks / Creta' request, or a location name with a comma.</t>
  </si>
  <si>
    <t>1. Run a report that shows that text.
2. Export to CSV and to Excel.</t>
  </si>
  <si>
    <t>The '/' and any comma, quote or ampersand come through unchanged in both files.</t>
  </si>
  <si>
    <t>RPT-022</t>
  </si>
  <si>
    <t>Result grid</t>
  </si>
  <si>
    <t>Trip summary on screen.</t>
  </si>
  <si>
    <t>1. Filter the Status column.
2. Check the Distance column header.</t>
  </si>
  <si>
    <t>Text columns can be filtered from a list of their values. Numeric columns are right-aligned and have no filter.</t>
  </si>
  <si>
    <t>RPT-023</t>
  </si>
  <si>
    <t>Performance</t>
  </si>
  <si>
    <t>1. Set a full 12-month range and run 'Trip summary'.</t>
  </si>
  <si>
    <t>The report completes or shows a clear message suggesting a narrower range. It does not hang.</t>
  </si>
  <si>
    <t>FLW-001</t>
  </si>
  <si>
    <t>Prerequisites</t>
  </si>
  <si>
    <t>Flow owner</t>
  </si>
  <si>
    <t>Build Guide v4 section 2.</t>
  </si>
  <si>
    <t>1. Check the flow owner is a dedicated account with a mailbox and a Power Automate licence.
2. Check it has Contribute on every dispatch list plus DriversMaster and VehicleMaster.
3. Check only SharePoint and Office 365 Outlook connections are used (no premium diamond).</t>
  </si>
  <si>
    <t>All three are true. Record the account name.</t>
  </si>
  <si>
    <t>FLW-002</t>
  </si>
  <si>
    <t>Build Guide v4 section 2.4.</t>
  </si>
  <si>
    <t>1. Open the permissions of DriversMaster and VehicleMaster.</t>
  </si>
  <si>
    <t>FM Drivers has Contribute on both, as well as on RideOffers, TripAssignments and TripStatusHistory.</t>
  </si>
  <si>
    <t>FLW-003</t>
  </si>
  <si>
    <t>Templates</t>
  </si>
  <si>
    <t>Build Guide v4 section 4.</t>
  </si>
  <si>
    <t>1. Open the Templates list.
2. Compare the template keys and the {placeholders} with the seven templates in the guide.</t>
  </si>
  <si>
    <t>- Seven active templates exist with these exact keys: BroadcastOpened.Driver, WindowExpired.Coordinator, StatusChanged.Requester, BookingConfirmed.Requester, RequestSubmitted.Requester, RequestEscalated.Coordinator, RequestClosed.Requester.
- Their placeholders match the guide exactly ({Pickup}, {DropOff}, {When} and so on). The seed script loads 15 older templates that use different names such as {PickupLocation}; those must be replaced or the emails will show raw placeholders.</t>
  </si>
  <si>
    <t>FLW-004</t>
  </si>
  <si>
    <t>Flow 4A - acknowledgement</t>
  </si>
  <si>
    <t>Flow built as in the Build Guide v4 and turned on. Remember: these are polling flows, so wait up to 10 minutes after each action.</t>
  </si>
  <si>
    <t>1. Book a ride.
2. Leave it alone for 10 minutes.
3. Check the requester's inbox and NotificationLog.</t>
  </si>
  <si>
    <t>- One email 'Request received - FB-00nn'. The reference is the real FB number, never 'NEW'.
- Body has pickup, destination, required time, vehicle type, and the paragraph saying this is an acknowledgement, not a confirmation.
- Plain text with line breaks intact. NotificationLog row with Outcome Sent.</t>
  </si>
  <si>
    <t>FLW-005</t>
  </si>
  <si>
    <t>1. Book a ride that escalates immediately (Chiller Van).
2. Book an advance ride (Held).</t>
  </si>
  <si>
    <t>The acknowledgement is sent for both. Flow 4A fires on creation whatever status the request has reached.</t>
  </si>
  <si>
    <t>FLW-006</t>
  </si>
  <si>
    <t>Flow 1 - offer email</t>
  </si>
  <si>
    <t>Flow built as in the Build Guide v4 and turned on. Remember: these are polling flows, so wait up to 10 minutes after each action. Both drivers have real mailboxes.</t>
  </si>
  <si>
    <t>1. Book a ride both drivers are eligible for.
2. Leave it alone for 10 minutes.
3. Check both drivers' inboxes.</t>
  </si>
  <si>
    <t>- Each offered driver gets exactly one email, sent as BCC so neither sees the other.
- Subject 'Trip available: &lt;pickup&gt; to &lt;destination&gt;, &lt;time&gt;'. Body includes the vehicle type and the dashboard link.
- One flow run per request, not one per driver.</t>
  </si>
  <si>
    <t>FLW-007</t>
  </si>
  <si>
    <t>1. Book a ride that escalates at once (no eligible driver).</t>
  </si>
  <si>
    <t>No offer email is sent. The run history shows the trigger condition was not met or the flow stopped at the empty-BCC check.</t>
  </si>
  <si>
    <t>FLW-008</t>
  </si>
  <si>
    <t>Flow 1 - timing</t>
  </si>
  <si>
    <t>1. Book a ride and note the submit time.
2. Note when the offer email arrives.
3. Compare with OfferClosesAt.</t>
  </si>
  <si>
    <t>The email arrives before the offer window closes. If the window is 5 minutes and the email takes up to 5, drivers receive offers that have already expired; in that case raise OfferWindowMinutes to 15 (see ALC-020).</t>
  </si>
  <si>
    <t>FLW-009</t>
  </si>
  <si>
    <t>Flow 2 - expire</t>
  </si>
  <si>
    <t>1. Book a ride that broadcasts. Do not accept or reject.
2. Wait for the offer window plus 5 minutes.
3. Check the request, its offers and the Coordinator's inbox.</t>
  </si>
  <si>
    <t>- Request: Awaiting Coordinator. Every Pending offer: Expired (not Closed).
- Coordinator email 'No driver accepted FB-00nn' with the number of drivers offered.
- Dispatch.aspx shows the request pinned with the amber edge.</t>
  </si>
  <si>
    <t>FLW-010</t>
  </si>
  <si>
    <t>1. Book a ride. One driver rejects with a reason; the other ignores it.
2. Wait for the window plus 5 minutes.</t>
  </si>
  <si>
    <t>The Coordinator email's 'Declined' line names the driver and the reason. The rejected offer stays Rejected; only the untouched one becomes Expired.</t>
  </si>
  <si>
    <t>FLW-011</t>
  </si>
  <si>
    <t>1. Book a ride and accept it inside the window.
2. Wait 10 minutes.</t>
  </si>
  <si>
    <t>Flow 2 does nothing to it. The request stays Allocated and the losing offers stay Closed.</t>
  </si>
  <si>
    <t>FLW-012</t>
  </si>
  <si>
    <t>Flow 2 - required columns</t>
  </si>
  <si>
    <t>1. After Flow 2 has expired a request, open the request row.</t>
  </si>
  <si>
    <t>Every other column (requester, locations, vehicle type, required time) is intact. Only ReqStatus changed.</t>
  </si>
  <si>
    <t>FLW-013</t>
  </si>
  <si>
    <t>Flow 3 - confirmation</t>
  </si>
  <si>
    <t>1. Book a ride and have a driver accept it.
2. Wait 10 minutes.
3. Check the requester's inbox.</t>
  </si>
  <si>
    <t>Email 'Confirmed - &lt;driver&gt; is your driver for FB-00nn' with driver name and phone, vehicle colour make and model, plate, pickup, destination and time.</t>
  </si>
  <si>
    <t>FLW-014</t>
  </si>
  <si>
    <t>1. Assign a request manually from Dispatch.aspx.
2. Wait 10 minutes.</t>
  </si>
  <si>
    <t>The same booking confirmation is sent for a manual assignment.</t>
  </si>
  <si>
    <t>FLW-015</t>
  </si>
  <si>
    <t>Flow 3 - status emails</t>
  </si>
  <si>
    <t>Flow built as in the Build Guide v4 and turned on. Remember: these are polling flows, so wait up to 10 minutes after each action. NotifyEnRoute and NotifyInTransit are Yes on the rule.</t>
  </si>
  <si>
    <t>1. Driver taps On my way. Wait 6 minutes.
2. Driver taps Picked up. Wait 6 minutes.</t>
  </si>
  <si>
    <t>The requester gets 'Your trip FB-00nn - on the way' and then '... - in transit'. Tapping both within five minutes may produce only one email, because the flow reads the state at its next poll.</t>
  </si>
  <si>
    <t>FLW-016</t>
  </si>
  <si>
    <t>Set NotifyEnRoute = No on the rule for that property and request type.</t>
  </si>
  <si>
    <t>1. Driver taps On my way. Wait 10 minutes.</t>
  </si>
  <si>
    <t>No 'on the way' email is sent. Set it back to Yes afterwards.</t>
  </si>
  <si>
    <t>FLW-017</t>
  </si>
  <si>
    <t>Flow 3 - completed</t>
  </si>
  <si>
    <t>1. Driver taps Complete with a closing reading.
2. Wait 10 minutes.
3. Check the request, driver, vehicle and Daily Trip Sheet.</t>
  </si>
  <si>
    <t>- Request: Completed. Driver: Available. Vehicle: Available.
- A new Daily Trip Sheet row with Date (dd/MM/yyyy), StartTime and EndTime (HH:mm) as text, pickup, drop-off, passengers, plate, driver, property, requested by and trip details. Compare the format with existing rows.
- Requester gets the completion email. Dispatch counters go back up.</t>
  </si>
  <si>
    <t>FLW-018</t>
  </si>
  <si>
    <t>Flow built as in the Build Guide v4 and turned on. Remember: these are polling flows, so wait up to 10 minutes after each action. Rashid (cap 2) holds two open trips.</t>
  </si>
  <si>
    <t>1. Complete one of the two trips.
2. Wait 10 minutes.
3. Read Rashid's Status in DriversMaster.</t>
  </si>
  <si>
    <t>Rashid still holds an open trip, so he should stay On Trip. Record what the flow sets, and whether Flow 6 corrects it overnight.</t>
  </si>
  <si>
    <t>FLW-019</t>
  </si>
  <si>
    <t>Flow 3 - cancelled</t>
  </si>
  <si>
    <t>1. A driver cancels an accepted trip.
2. Wait 10 minutes.</t>
  </si>
  <si>
    <t>Requester and Coordinator are both emailed that the trip is cancelled.</t>
  </si>
  <si>
    <t>FLW-020</t>
  </si>
  <si>
    <t>Flow 3 - no loop</t>
  </si>
  <si>
    <t>1. After FLW-017, open Flow 3's run history.</t>
  </si>
  <si>
    <t>One run per real status change. The flow's own writes do not trigger further runs.</t>
  </si>
  <si>
    <t>FLW-021</t>
  </si>
  <si>
    <t>Flow 4B - escalation</t>
  </si>
  <si>
    <t>1. Book a ride that escalates at once (Chiller Van from Dubai).
2. Wait 10 minutes.
3. Read the 'Why it needs you' line in the Coordinator's email.</t>
  </si>
  <si>
    <t>Email 'Needs assignment - FB-00nn, &lt;time&gt;' with requester, property, route, vehicle type. The reason should say that no driver or vehicle was available. Record the reason line actually sent.</t>
  </si>
  <si>
    <t>FLW-022</t>
  </si>
  <si>
    <t>1. A driver accepts and then cancels a trip.
2. Wait 10 minutes.
3. Read the 'Why it needs you' line.</t>
  </si>
  <si>
    <t>The reason should say a driver cancelled after accepting and quote the driver's reason. Record the reason line actually sent.</t>
  </si>
  <si>
    <t>FLW-023</t>
  </si>
  <si>
    <t>Flow 4B - rejected</t>
  </si>
  <si>
    <t>1. Reject a pending request from Dispatch.aspx with a reason.
2. Wait 10 minutes.</t>
  </si>
  <si>
    <t>Requester gets 'Your request FB-00nn has been rejected' with the Coordinator's reason and the closing line about raising a new request.</t>
  </si>
  <si>
    <t>FLW-024</t>
  </si>
  <si>
    <t>Flow 4B - cancelled</t>
  </si>
  <si>
    <t>1. Cancel your own pending request from My Bookings.
2. Wait 10 minutes.</t>
  </si>
  <si>
    <t>Requester gets 'Your request FB-00nn has been cancelled' with the reason.</t>
  </si>
  <si>
    <t>FLW-025</t>
  </si>
  <si>
    <t>Flow 4B and Flow 2 overlap</t>
  </si>
  <si>
    <t>1. Let an offer window expire (FLW-009).
2. Count the Coordinator emails for that request.</t>
  </si>
  <si>
    <t>The guide says both flows may email on expiry. Record whether the Coordinator gets one email or two.</t>
  </si>
  <si>
    <t>FLW-026</t>
  </si>
  <si>
    <t>Flow 5 - advance release</t>
  </si>
  <si>
    <t>1. Book a ride 3 days out (it is Held).
2. Edit ReleaseAt on the row to 5 minutes ago.
3. Run Flow 5 on demand.
4. Open Dispatch.aspx and wait one refresh.</t>
  </si>
  <si>
    <t>- After the flow: ReqStatus = Submitted.
- After the dashboard refresh: Broadcasting with offers, or Awaiting Coordinator.
- With no dashboard open, the request stays Submitted. That is the documented limitation.</t>
  </si>
  <si>
    <t>FLW-027</t>
  </si>
  <si>
    <t>Flow 5 - stale booking</t>
  </si>
  <si>
    <t>1. Take a Held request and edit RequiredDateTime and ReleaseAt to yesterday.
2. Run Flow 5 on demand.</t>
  </si>
  <si>
    <t>The request goes to Awaiting Coordinator, not Submitted, so drivers are not offered a trip that is already in the past.</t>
  </si>
  <si>
    <t>FLW-028</t>
  </si>
  <si>
    <t>Flow 5 - orphan tripwire</t>
  </si>
  <si>
    <t>1. Take a Held request and clear ReleaseAt.
2. Run Flow 5 on demand.</t>
  </si>
  <si>
    <t>The Coordinator is emailed about a Held request with no release time.</t>
  </si>
  <si>
    <t>FLW-029</t>
  </si>
  <si>
    <t>Flow 6 - reconciliation</t>
  </si>
  <si>
    <t>1. Set a free driver's Status to On Trip by hand.
2. Set a free vehicle's VehStatus to On Trip by hand.
3. Run Flow 6 on demand.</t>
  </si>
  <si>
    <t>Both are set back to Available and a summary email lists the corrections.</t>
  </si>
  <si>
    <t>FLW-030</t>
  </si>
  <si>
    <t>Flow 6 - guard</t>
  </si>
  <si>
    <t>1. Run Flow 6 on demand.
2. Read Ali Hassan's Status and E 56789's VehStatus.</t>
  </si>
  <si>
    <t>Ali Hassan stays On Leave and E 56789 stays Under Maintenance. The flow only ever touches Available and On Trip.</t>
  </si>
  <si>
    <t>FLW-031</t>
  </si>
  <si>
    <t>Flow 6 - stale trip</t>
  </si>
  <si>
    <t>Flow built as in the Build Guide v4 and turned on. Remember: these are polling flows, so wait up to 10 minutes after each action. A trip left on Assigned for more than a day (edit AcceptedOn to two days ago).</t>
  </si>
  <si>
    <t>1. Run Flow 6 on demand.</t>
  </si>
  <si>
    <t>The email reports the stale trip for a person to look at. The flow does not close it.</t>
  </si>
  <si>
    <t>FLW-032</t>
  </si>
  <si>
    <t>Flow 6 - quiet</t>
  </si>
  <si>
    <t>Flow built as in the Build Guide v4 and turned on. Remember: these are polling flows, so wait up to 10 minutes after each action. Nothing is out of step.</t>
  </si>
  <si>
    <t>No email is sent. The run history shows it ran.</t>
  </si>
  <si>
    <t>FLW-033</t>
  </si>
  <si>
    <t>Flow 6 - schedule</t>
  </si>
  <si>
    <t>1. Open the Recurrence trigger.</t>
  </si>
  <si>
    <t>Daily at 02:00 with time zone (UTC+04:00) Abu Dhabi, Muscat.</t>
  </si>
  <si>
    <t>FLW-034</t>
  </si>
  <si>
    <t>Flow 7 - dry run</t>
  </si>
  <si>
    <t>Flow built as in the Build Guide v4 and turned on. Remember: these are polling flows, so wait up to 10 minutes after each action. The FleetData write action is disabled.</t>
  </si>
  <si>
    <t>1. Run Flow 7 on demand.
2. Read the summary email.</t>
  </si>
  <si>
    <t>The email lists a trip count per driver and vehicle pair for last month, and separately any pairs with no matching FleetData row. Nothing is written to FleetData.</t>
  </si>
  <si>
    <t>FLW-035</t>
  </si>
  <si>
    <t>Flow 7 - write</t>
  </si>
  <si>
    <t>Dry run agreed with the hand-typed figures twice. Write action enabled.</t>
  </si>
  <si>
    <t>1. Run Flow 7 on demand twice.
2. Open the matching FleetData rows.</t>
  </si>
  <si>
    <t>'No Of TRFs' holds the count, the same after both runs (it sets, it does not add). No new FleetData rows are created. Calculated columns are untouched.</t>
  </si>
  <si>
    <t>FLW-036</t>
  </si>
  <si>
    <t>Send failure</t>
  </si>
  <si>
    <t>1. Make one send fail (for example set a driver's UserAccount to an invalid mailbox).
2. Trigger the flow.
3. Check NotificationLog and the Coordinator's inbox.</t>
  </si>
  <si>
    <t>A NotificationLog row with Outcome Failed and the error text, and an alert to the Coordinator.</t>
  </si>
  <si>
    <t>FLW-037</t>
  </si>
  <si>
    <t>Email format</t>
  </si>
  <si>
    <t>Any email from the flows.</t>
  </si>
  <si>
    <t>1. Open it in Outlook.</t>
  </si>
  <si>
    <t>Plain text with each field on its own line. No run-on paragraph, no raw {placeholders}.</t>
  </si>
  <si>
    <t>FLW-038</t>
  </si>
  <si>
    <t>Daily budget</t>
  </si>
  <si>
    <t>After a full day of testing.</t>
  </si>
  <si>
    <t>1. Open the flow owner's Power Automate analytics.</t>
  </si>
  <si>
    <t>Total actions for the day are well under 6,000 (the guide estimates about 3,450).</t>
  </si>
  <si>
    <t>PRM-001</t>
  </si>
  <si>
    <t>Requester write path</t>
  </si>
  <si>
    <t>PLAIN (or an account in FM Requesters only). List permissions applied as in the specification.</t>
  </si>
  <si>
    <t>1. Book a ride that should broadcast.
2. Check the request row and RideOffers.</t>
  </si>
  <si>
    <t>The booking is saved AND the offers are created. The broadcast runs in the requester's browser, so this account needs to read DriversMaster, VehicleMaster, DLClientMaster, AvailabilityBlocks, TripAssignments and AllocationRules and to add items to RideOffers. Record any error or any request left on Submitted.</t>
  </si>
  <si>
    <t>PRM-002</t>
  </si>
  <si>
    <t>Driver write path</t>
  </si>
  <si>
    <t>Account in FM Drivers only</t>
  </si>
  <si>
    <t>FLW-002 not yet applied (FM Drivers has Read on master data).</t>
  </si>
  <si>
    <t>1. Accept an offer.
2. Check the trip, the driver row and the vehicle row.</t>
  </si>
  <si>
    <t>Build Guide 2.4 warns that the claim succeeds but the driver and vehicle status writes fail with 403. Record the message shown and the state the lists are left in, then apply the permission fix and repeat.</t>
  </si>
  <si>
    <t>PRM-003</t>
  </si>
  <si>
    <t>Missing permission message</t>
  </si>
  <si>
    <t>Account with Read only on RideOffers</t>
  </si>
  <si>
    <t>Temporarily give a driver account Read on RideOffers.</t>
  </si>
  <si>
    <t>1. Reject an offer.</t>
  </si>
  <si>
    <t>Message: 'You do not have permission to write to the RideOffers list. Ask a Fleet Admin to grant your group Contribute on RideOffers. Nothing was saved.' Restore the permission afterwards.</t>
  </si>
  <si>
    <t>PRM-004</t>
  </si>
  <si>
    <t>Requester privacy</t>
  </si>
  <si>
    <t>PLAIN signed in. Book.aspx open with the browser network tab recording.</t>
  </si>
  <si>
    <t>1. Go through the whole booking wizard up to Submit (do not submit).
2. List the SharePoint lists requested.</t>
  </si>
  <si>
    <t>Before Submit, only Locations, VehicleTypes, PropertyMaster and the user and group endpoints are read. Nothing about drivers, vehicles or availability.</t>
  </si>
  <si>
    <t>PRM-005</t>
  </si>
  <si>
    <t>Other people's data</t>
  </si>
  <si>
    <t>List permissions as currently configured.</t>
  </si>
  <si>
    <t>1. As PLAIN, open the TransportRequests list directly in the browser.</t>
  </si>
  <si>
    <t>A requester should see only their own requests. TESTING.md notes item-level permissions are not applied yet. Record what PLAIN can see.</t>
  </si>
  <si>
    <t>PRM-006</t>
  </si>
  <si>
    <t>Driver isolation</t>
  </si>
  <si>
    <t>DRIVER-B signed in.</t>
  </si>
  <si>
    <t>Only offers and trips for DRIVER-B are shown, never another driver's.</t>
  </si>
  <si>
    <t>PRM-007</t>
  </si>
  <si>
    <t>Offer tampering</t>
  </si>
  <si>
    <t>Accepted risk recorded in ARCHITECTURE section 13.</t>
  </si>
  <si>
    <t>1. As DRIVER-B, open the RideOffers list in the browser and try to edit another driver's offer row.</t>
  </si>
  <si>
    <t>The permission model allows it (Contribute). Confirm the business has accepted this in writing and that the change shows in version history.</t>
  </si>
  <si>
    <t>PRM-008</t>
  </si>
  <si>
    <t>No secrets in the package</t>
  </si>
  <si>
    <t>A production build.</t>
  </si>
  <si>
    <t>1. Search the files under dist and the .sppkg for 'key', 'secret', 'password', 'token' and flow URLs.</t>
  </si>
  <si>
    <t>No credentials, keys or flow trigger URLs are in the package.</t>
  </si>
  <si>
    <t>PRM-009</t>
  </si>
  <si>
    <t>Script injection</t>
  </si>
  <si>
    <t>1. Book with Remarks: &lt;script&gt;alert(1)&lt;/script&gt; and vehicle type Others with text &lt;img src=x onerror=alert(1)&gt;.
2. Open the request in My Bookings and in the Dispatch Assign panel.</t>
  </si>
  <si>
    <t>The text is displayed as plain text. No alert box appears.</t>
  </si>
  <si>
    <t>E2E-001</t>
  </si>
  <si>
    <t>Happy path - automatic</t>
  </si>
  <si>
    <t>Fresh seed. All flows on (mark the email lines N/A if flows are not built).</t>
  </si>
  <si>
    <t>1. Requester books: Dubai pickup, today, Staff, Pathfinder, 2 passengers.
2. Both drivers see the offer within 20 seconds.
3. DRIVER-B accepts. The other driver's card disappears.
4. Requester's screen moves to Booking confirmed.
5. Driver taps On my way (opening reading), Picked up, Complete (closing reading).
6. Requester watches Track my ride throughout.
7. Wait 10 minutes, then check Dispatch.aspx and Reports.</t>
  </si>
  <si>
    <t>- Request ends Completed; trip Completed with both readings; driver and vehicle Available.
- Offers: one Accepted, the rest Closed.
- Four TripStatusHistory rows. One Daily Trip Sheet row.
- Emails: acknowledgement, offer, confirmation, on the way, in transit, completed.
- Trip summary shows the trip with its distance.</t>
  </si>
  <si>
    <t>E2E-002</t>
  </si>
  <si>
    <t>Escalation then manual assignment</t>
  </si>
  <si>
    <t>Fresh seed.</t>
  </si>
  <si>
    <t>1. Requester books a ride that broadcasts.
2. No driver responds; wait for the window plus 5 minutes.
3. Coordinator opens Dispatch.aspx, clicks Assign on the pinned request, picks a driver and vehicle.
4. Driver sees the trip with no Accept step and completes it.</t>
  </si>
  <si>
    <t>- Request path: Broadcasting, Awaiting Coordinator, Allocated, Completed.
- Offers Expired. Trip AllocationMode Manual.
- Broadcast effectiveness counts it under 'Manually assigned'.</t>
  </si>
  <si>
    <t>E2E-003</t>
  </si>
  <si>
    <t>Immediate escalation</t>
  </si>
  <si>
    <t>1. Requester books vehicle type Others with a description.
2. Coordinator opens the Assign panel.</t>
  </si>
  <si>
    <t>The request is pinned at once. The panel header shows the requester's free text in brackets. Any vehicle chosen needs an override reason because no vehicle is of type Others.</t>
  </si>
  <si>
    <t>E2E-004</t>
  </si>
  <si>
    <t>Driver cancels after accepting</t>
  </si>
  <si>
    <t>1. Requester books; a driver accepts.
2. The driver cancels the trip with a reason.
3. Requester opens My Bookings.
4. Coordinator reassigns to another driver.
5. The new driver completes the trip.</t>
  </si>
  <si>
    <t>- After the cancel: request Awaiting Coordinator, first trip Cancelled, driver and vehicle free.
- My Bookings shows the 'Coordinator is assigning someone' notice, not 'Cancelled'.
- A second trip row exists for the same request and completes normally.</t>
  </si>
  <si>
    <t>E2E-005</t>
  </si>
  <si>
    <t>Requester cancels before allocation</t>
  </si>
  <si>
    <t>1. Requester books an advance ride (Held).
2. Requester cancels it in My Bookings with a reason.</t>
  </si>
  <si>
    <t>Request Cancelled with the reason. It never reaches any driver. Rejection and cancellation analysis counts it.</t>
  </si>
  <si>
    <t>E2E-006</t>
  </si>
  <si>
    <t>Requester asks to cancel after allocation</t>
  </si>
  <si>
    <t>An Allocated request.</t>
  </si>
  <si>
    <t>1. Requester uses 'Ask to cancel'.
2. Coordinator looks for the request on Dispatch.aspx and tries to cancel it.</t>
  </si>
  <si>
    <t>The requester is told the Coordinator has been asked. Record how the Coordinator learns of it and whether they can complete the cancellation from the dashboard (see DSP-030).</t>
  </si>
  <si>
    <t>E2E-007</t>
  </si>
  <si>
    <t>Coordinator rejects</t>
  </si>
  <si>
    <t>1. Coordinator rejects it with a reason.
2. Requester opens My Bookings.</t>
  </si>
  <si>
    <t>Request Rejected, offers Withdrawn, the requester sees the reason on screen and by email.</t>
  </si>
  <si>
    <t>E2E-008</t>
  </si>
  <si>
    <t>Advance booking full cycle</t>
  </si>
  <si>
    <t>Flow 5 on.</t>
  </si>
  <si>
    <t>1. Requester books for tomorrow morning.
2. Next day, four hours before the trip, check the request.
3. Open Dispatch.aspx.
4. A driver accepts and completes.</t>
  </si>
  <si>
    <t>Held until ReleaseAt, then Submitted (Flow 5), then Broadcasting (dashboard sweep), then the normal path.</t>
  </si>
  <si>
    <t>E2E-009</t>
  </si>
  <si>
    <t>Two properties</t>
  </si>
  <si>
    <t>1. Book one Dubai and one Abu Dhabi passenger request for today.
2. Open Driver.aspx as Rashid.</t>
  </si>
  <si>
    <t>Rashid is offered both. A Dubai-only driver is offered only the Dubai one.</t>
  </si>
  <si>
    <t>E2E-010</t>
  </si>
  <si>
    <t>Several requests at once</t>
  </si>
  <si>
    <t>1. Submit three bookings within one minute from two browsers.
2. Check the three request rows and their offers.</t>
  </si>
  <si>
    <t>Three different FB references, each matching its own item ID. Each request has its own set of offers with no cross-over.</t>
  </si>
  <si>
    <t>NFR-001</t>
  </si>
  <si>
    <t>Keyboard</t>
  </si>
  <si>
    <t>Dispatch.aspx open. Do not use the mouse.</t>
  </si>
  <si>
    <t>1. Tab through the whole page.
2. Open a column filter with Enter and close it with Escape.
3. Open the Assign panel and choose a driver and vehicle with the keyboard.</t>
  </si>
  <si>
    <t>Every counter, filter header, tab, row action and list option can be reached and operated. A clear focus ring is always visible.</t>
  </si>
  <si>
    <t>NFR-002</t>
  </si>
  <si>
    <t>Book.aspx open. Do not use the mouse.</t>
  </si>
  <si>
    <t>1. Complete the whole booking with the keyboard only.</t>
  </si>
  <si>
    <t>Location options, slots, tiles and buttons can all be reached and selected.</t>
  </si>
  <si>
    <t>NFR-003</t>
  </si>
  <si>
    <t>Colour not the only signal</t>
  </si>
  <si>
    <t>Screenshots of each page.</t>
  </si>
  <si>
    <t>1. Turn each screenshot to greyscale.</t>
  </si>
  <si>
    <t>Every status is still readable because every badge carries its word; the pinned row says 'Awaiting Coordinator'; a filtered column says 'filtered (n)'; a selected tile says so.</t>
  </si>
  <si>
    <t>NFR-004</t>
  </si>
  <si>
    <t>Contrast</t>
  </si>
  <si>
    <t>A browser accessibility checker such as axe DevTools.</t>
  </si>
  <si>
    <t>1. Run it on each of the five pages.</t>
  </si>
  <si>
    <t>No WCAG 2.1 AA contrast failures. Record any findings.</t>
  </si>
  <si>
    <t>NFR-005</t>
  </si>
  <si>
    <t>Screen reader</t>
  </si>
  <si>
    <t>Narrator or NVDA.</t>
  </si>
  <si>
    <t>1. Move through Dispatch.aspx and Driver.aspx.</t>
  </si>
  <si>
    <t>Each grid announces its caption. Counters announce label and value. The offer banner is announced when the count changes. Dialogs announce their title and consequences.</t>
  </si>
  <si>
    <t>NFR-006</t>
  </si>
  <si>
    <t>Responsive 360 px</t>
  </si>
  <si>
    <t>DevTools device mode at 360 px width.</t>
  </si>
  <si>
    <t>No horizontal page scroll. Grids scroll inside their own region. Buttons and cards remain usable.</t>
  </si>
  <si>
    <t>NFR-007</t>
  </si>
  <si>
    <t>Responsive tablet</t>
  </si>
  <si>
    <t>DevTools at 768 px width.</t>
  </si>
  <si>
    <t>Layouts adapt cleanly. Nothing overlaps.</t>
  </si>
  <si>
    <t>NFR-008</t>
  </si>
  <si>
    <t>Time zone</t>
  </si>
  <si>
    <t>PC time zone set to something other than UTC+4.</t>
  </si>
  <si>
    <t>1. Compare the Required time of one request on My Bookings, Driver, Dispatch and in the SharePoint list (UTC).</t>
  </si>
  <si>
    <t>All three pages show the same Gulf Standard Time, four hours ahead of the stored UTC value, regardless of the PC's zone.</t>
  </si>
  <si>
    <t>NFR-009</t>
  </si>
  <si>
    <t>Loading states</t>
  </si>
  <si>
    <t>DevTools network throttled to Slow 3G.</t>
  </si>
  <si>
    <t>1. Reload each page.</t>
  </si>
  <si>
    <t>Each page shows a loading message that says what is loading, not a blank area.</t>
  </si>
  <si>
    <t>NFR-010</t>
  </si>
  <si>
    <t>Error banner</t>
  </si>
  <si>
    <t>Rename a list temporarily (for example RideOffers) or block it in DevTools.</t>
  </si>
  <si>
    <t>1. Reload Driver.aspx.</t>
  </si>
  <si>
    <t>A red banner says what failed and what to do, with a 'Reference:' id, and can be dismissed. There is no blank page and no raw technical error. Rename the list back afterwards.</t>
  </si>
  <si>
    <t>NFR-011</t>
  </si>
  <si>
    <t>Missing rules list</t>
  </si>
  <si>
    <t>Block requests to the AllocationRules list in DevTools.</t>
  </si>
  <si>
    <t>1. Book a ride.</t>
  </si>
  <si>
    <t>The booking still goes through using the default rule. The console logs '[FleetPortal] AllocationRules could not be read; using defaults.'</t>
  </si>
  <si>
    <t>NFR-012</t>
  </si>
  <si>
    <t>Console warnings</t>
  </si>
  <si>
    <t>Browser console open.</t>
  </si>
  <si>
    <t>1. Use each page for a few minutes.</t>
  </si>
  <si>
    <t>No uncaught errors. Record any '[FleetPortal]' warnings, especially one about DLClientMaster column names.</t>
  </si>
  <si>
    <t>NFR-013</t>
  </si>
  <si>
    <t>Fonts and branding</t>
  </si>
  <si>
    <t>Fonts uploaded to /SiteAssets/fonts, if the project uses custom fonts.</t>
  </si>
  <si>
    <t>1. Open each page and inspect the font in DevTools.</t>
  </si>
  <si>
    <t>The intended fonts load from Site Assets with no 404 in the network tab. Colours are consistent across the five pages.</t>
  </si>
  <si>
    <t>NFR-014</t>
  </si>
  <si>
    <t>Confirm dialogs</t>
  </si>
  <si>
    <t>1. Open every destructive action: requester cancel, driver reject, driver cancel trip, coordinator reject, coordinator cancel.</t>
  </si>
  <si>
    <t>Each uses an in-page dialog (never a browser confirm box), lists its consequences, requires a reason and has a Cancel button.</t>
  </si>
  <si>
    <t>NFR-015</t>
  </si>
  <si>
    <t>Browsers</t>
  </si>
  <si>
    <t>Edge, Chrome, and a phone browser.</t>
  </si>
  <si>
    <t>1. Open Driver.aspx and Book.aspx in each.</t>
  </si>
  <si>
    <t>Both pages work in each browser, including the chime and the tab title on desktop.</t>
  </si>
  <si>
    <t>NFR-016</t>
  </si>
  <si>
    <t>Simulator script</t>
  </si>
  <si>
    <t>scripts/3-Simulate-Flows.ps1.</t>
  </si>
  <si>
    <t>1. Run it with -Action Status.
2. Run -Action Claim against a Broadcasting request.</t>
  </si>
  <si>
    <t>The script reports each request's status and can perform the claim. Record any errors; the script reads a column called 'Status' while the lists use 'ReqStatus', so it may be out of date.</t>
  </si>
  <si>
    <t>#</t>
  </si>
  <si>
    <t>Area</t>
  </si>
  <si>
    <t>What I expect to go wrong</t>
  </si>
  <si>
    <t>Why (from reading the code)</t>
  </si>
  <si>
    <t>Where in the code</t>
  </si>
  <si>
    <t>Confirm with test</t>
  </si>
  <si>
    <t>Confirmed? (Yes / No)</t>
  </si>
  <si>
    <t>Notes</t>
  </si>
  <si>
    <t>R-01</t>
  </si>
  <si>
    <t>Driver Dashboard</t>
  </si>
  <si>
    <t>Accepting when no vehicle is free shows the 'taken' wording</t>
  </si>
  <si>
    <t>acceptOffer returns NO_VEHICLE 'No vehicle is available for this trip'. The dashboard shows every such result in the same box, which always adds 'Another driver accepted that trip first.' With fresh seed data this happens on FB-0002.</t>
  </si>
  <si>
    <t>src/webparts/driverDashboard/components/DriverDashboard.tsx (takenNotice)</t>
  </si>
  <si>
    <t>R-02</t>
  </si>
  <si>
    <t>My Bookings</t>
  </si>
  <si>
    <t>Cancelling while Broadcasting does nothing but says a driver accepted</t>
  </si>
  <si>
    <t>The screen offers 'Ask to cancel' for Broadcasting. The service only cancels Submitted, Held and Awaiting Coordinator; for anything else it returns the 'A driver has already accepted this trip' message. With no trip there is nothing to write, so the request keeps broadcasting.</t>
  </si>
  <si>
    <t>src/common/rules/statusTransitions.ts (cancellationNeedsCoordinator); src/common/services/DispatchService.ts (cancel)</t>
  </si>
  <si>
    <t>R-03</t>
  </si>
  <si>
    <t>Dispatch Dashboard</t>
  </si>
  <si>
    <t>No way to cancel an Allocated request</t>
  </si>
  <si>
    <t>Cancel is only on rows of the Pending grid. Allocated requests are not in that grid and the Ongoing grid has no actions, so the Coordinator cannot act on a requester's 'Ask to cancel'.</t>
  </si>
  <si>
    <t>src/webparts/dispatchDashboard/components/DispatchDashboard.tsx (ongoingColumns, pendingColumns)</t>
  </si>
  <si>
    <t>R-04</t>
  </si>
  <si>
    <t>Reassign is not reachable from the interface</t>
  </si>
  <si>
    <t>DispatchService.reassign exists but no component calls it.</t>
  </si>
  <si>
    <t>src/common/services/DispatchService.ts (reassign)</t>
  </si>
  <si>
    <t>R-05</t>
  </si>
  <si>
    <t>Set ETA is not reachable from the interface</t>
  </si>
  <si>
    <t>DispatchService.setEta exists but no component calls it. The ETA shown on FB-0004 comes from the seed.</t>
  </si>
  <si>
    <t>src/common/services/DispatchService.ts (setEta)</t>
  </si>
  <si>
    <t>R-06</t>
  </si>
  <si>
    <t>Assign panel never shows the on-leave verdict</t>
  </si>
  <si>
    <t>The panel passes an empty list of availability blocks to the eligibility check, so 'On leave during the trip window' cannot appear. Ali Hassan is likely to read 'eligible' beside an On Leave badge, and assigning him needs no override reason.</t>
  </si>
  <si>
    <t>src/webparts/dispatchDashboard/components/DispatchDashboard.tsx (AssignmentPanel, blocks: [])</t>
  </si>
  <si>
    <t>R-07</t>
  </si>
  <si>
    <t>Assign panel ignores trips that are only Assigned</t>
  </si>
  <si>
    <t>The panel builds its open-trip list from Ongoing trips (En Route and In Transit). A driver or vehicle on an Assigned trip is not flagged as at cap or busy.</t>
  </si>
  <si>
    <t>src/webparts/dispatchDashboard/components/DispatchDashboard.tsx (openTrips from snapshot.ongoingTrips)</t>
  </si>
  <si>
    <t>R-08</t>
  </si>
  <si>
    <t>Held requests are invisible to the Coordinator</t>
  </si>
  <si>
    <t>The snapshot reads Submitted, Broadcasting, Awaiting Coordinator, Allocated and Completed only.</t>
  </si>
  <si>
    <t>src/common/services/DispatchService.ts (getSnapshot)</t>
  </si>
  <si>
    <t>R-09</t>
  </si>
  <si>
    <t>Completed trips and Allocated pairs counters do not filter</t>
  </si>
  <si>
    <t>Only the Ongoing and Pending counters change which grid is shown; the driver and vehicle counters switch a tab. The other two only highlight.</t>
  </si>
  <si>
    <t>src/webparts/dispatchDashboard/components/DispatchDashboard.tsx (visibleTrips, visibleRequests)</t>
  </si>
  <si>
    <t>R-10</t>
  </si>
  <si>
    <t>Completed period dropdown always reads 'This month'</t>
  </si>
  <si>
    <t>The dropdown's value is bound to the period start, which is also the value of the first option. After choosing 'Last 2 months' the label snaps back to 'This month', and there is no working way to return to the current month.</t>
  </si>
  <si>
    <t>src/webparts/dispatchDashboard/components/DispatchDashboard.tsx (period Select)</t>
  </si>
  <si>
    <t>R-11</t>
  </si>
  <si>
    <t>Seeded counter figures differ from TESTING.md</t>
  </si>
  <si>
    <t>Worked from the code and seed: 5 available drivers and 6 available vehicles for a tester scoped to both properties. TESTING.md says 3 and 5.</t>
  </si>
  <si>
    <t>src/common/services/DispatchService.ts (getSnapshot); TESTING.md</t>
  </si>
  <si>
    <t>R-12</t>
  </si>
  <si>
    <t>Book a Ride</t>
  </si>
  <si>
    <t>Default pickup may not be Dubai Head Office</t>
  </si>
  <si>
    <t>The default is the first location of the home property, and locations are read in Title order, so 'Al Barsha Clinic' sorts first for Dubai.</t>
  </si>
  <si>
    <t>src/webparts/bookARide/components/BookARide.tsx (home default); src/common/services/MasterDataService.ts (orderBy Title)</t>
  </si>
  <si>
    <t>R-13</t>
  </si>
  <si>
    <t>Passenger count is not checked against capacity</t>
  </si>
  <si>
    <t>Validation only requires 1 or more. The field's max of 60 is a browser hint, and capacity is never compared.</t>
  </si>
  <si>
    <t>src/webparts/bookARide/components/BookARide.tsx (validate)</t>
  </si>
  <si>
    <t>R-14</t>
  </si>
  <si>
    <t>Reject note is cut at the first colon</t>
  </si>
  <si>
    <t>The dialog returns 'Other: &lt;note&gt;' and the dashboard splits on ':' and keeps only the second part.</t>
  </si>
  <si>
    <t>src/webparts/driverDashboard/components/DriverDashboard.tsx (reject, reason.split(':'))</t>
  </si>
  <si>
    <t>R-15</t>
  </si>
  <si>
    <t>Closing odometer below opening is accepted</t>
  </si>
  <si>
    <t>The service only checks that the reading is a number. A negative distance would then show and flow into reports.</t>
  </si>
  <si>
    <t>src/common/services/DispatchService.ts (updateTripStatus)</t>
  </si>
  <si>
    <t>R-16</t>
  </si>
  <si>
    <t>Reports</t>
  </si>
  <si>
    <t>Default From date is one day early</t>
  </si>
  <si>
    <t>The default range is the Gulf month converted to UTC dates, so From is likely to show the last day of the previous month.</t>
  </si>
  <si>
    <t>src/webparts/reports/components/Reports.tsx (toDateInput of gulfMonthBounds)</t>
  </si>
  <si>
    <t>R-17</t>
  </si>
  <si>
    <t>Roles</t>
  </si>
  <si>
    <t>Dispatch and Reports do not check the visitor's role</t>
  </si>
  <si>
    <t>Neither component checks the role before rendering. Only the restricted report is gated. Real protection must come from page and list permissions.</t>
  </si>
  <si>
    <t>src/webparts/dispatchDashboard/components/DispatchDashboard.tsx; src/webparts/reports/components/Reports.tsx</t>
  </si>
  <si>
    <t>R-18</t>
  </si>
  <si>
    <t>Allocation</t>
  </si>
  <si>
    <t>Seeded offer window is 5 minutes</t>
  </si>
  <si>
    <t>The seed writes OfferWindowMinutes = 5 on all six rules. The architecture document and the code default say 15, so that the window outlasts the polling email delay.</t>
  </si>
  <si>
    <t>scripts/2-Seed-TestData.ps1 (AllocationRules)</t>
  </si>
  <si>
    <t>R-19</t>
  </si>
  <si>
    <t>Flows</t>
  </si>
  <si>
    <t>Seeded templates do not match Build Guide v4</t>
  </si>
  <si>
    <t>The seed loads 15 templates with older keys and placeholder names ({PickupLocation}, {RequiredDateTime}). The guide's flows replace {Pickup}, {DropOff}, {When} and expect seven keys, four of which are not seeded.</t>
  </si>
  <si>
    <t>scripts/2-Seed-TestData.ps1 (Templates); Build Guide v4 section 4</t>
  </si>
  <si>
    <t>R-20</t>
  </si>
  <si>
    <t>Flow 4B will give the wrong escalation reason for immediate escalations</t>
  </si>
  <si>
    <t>The guide's expression treats an empty OfferClosesAt as 'nobody eligible'. The web part sets OfferClosesAt to the current time when it escalates at once, so the email will say the offer window closed. The guide's optional 'skip when OfferClosesAt is in the past' condition would skip these escalations entirely.</t>
  </si>
  <si>
    <t>src/common/services/DispatchService.ts (broadcast, OfferClosesAt: now); Build Guide v4 section 9</t>
  </si>
  <si>
    <t>R-21</t>
  </si>
  <si>
    <t>Flow 4B cannot see a driver's cancellation reason</t>
  </si>
  <si>
    <t>When a driver cancels, the reason is written on the trip, not on the request. The guide's expression reads the request's CancellationReason, which is empty.</t>
  </si>
  <si>
    <t>src/common/services/DispatchService.ts (cancel, kind 'driver'); Build Guide v4 section 9</t>
  </si>
  <si>
    <t>R-22</t>
  </si>
  <si>
    <t>Flow 3 frees a driver who still holds another trip</t>
  </si>
  <si>
    <t>On Completed the flow sets the driver to Available without checking for other open trips. Matters for drivers with a cap above 1, such as Rashid.</t>
  </si>
  <si>
    <t>Build Guide v4 section 7 step 4</t>
  </si>
  <si>
    <t>R-23</t>
  </si>
  <si>
    <t>Permissions</t>
  </si>
  <si>
    <t>The broadcast runs as the requester</t>
  </si>
  <si>
    <t>createRequest calls broadcast in the requester's browser, so requesters need read access to driver, vehicle and availability lists and add access to RideOffers. If they lack it the error is swallowed and the request stays Submitted until a dashboard sweep. This also sits awkwardly with the rule that requesters must not be able to read availability.</t>
  </si>
  <si>
    <t>src/common/services/DispatchService.ts (createRequest calls broadcast)</t>
  </si>
  <si>
    <t>R-24</t>
  </si>
  <si>
    <t>Claim can half-complete without Contribute on master lists</t>
  </si>
  <si>
    <t>The driver and vehicle status writes come after the trip is created. A 403 there leaves the trip in place with driver and vehicle still Available.</t>
  </si>
  <si>
    <t>src/common/services/DispatchService.ts (completeClaim); Build Guide v4 section 2.4</t>
  </si>
  <si>
    <t>R-25</t>
  </si>
  <si>
    <t>Scripts</t>
  </si>
  <si>
    <t>3-Simulate-Flows.ps1 looks out of date</t>
  </si>
  <si>
    <t>It reads a request column called 'Status' and DLClientMaster columns 'Driver' and 'Property'. The lists and the web part use ReqStatus, DriverID and PropertyRef.</t>
  </si>
  <si>
    <t>scripts/3-Simulate-Flows.ps1</t>
  </si>
  <si>
    <t>R-26</t>
  </si>
  <si>
    <t>Documentation</t>
  </si>
  <si>
    <t>README.md and TESTING.md describe the old flow-URL design</t>
  </si>
  <si>
    <t>Both still say writes fail until flow URLs are pasted into the property pane, and mark driver and coordinator actions as untestable without flows. Those actions now run in the browser. ARCHITECTURE.md is the current description.</t>
  </si>
  <si>
    <t>README.md; TESTING.md</t>
  </si>
  <si>
    <t>Note</t>
  </si>
  <si>
    <t>These come from reading the source, not from running the app. Nothing here is confirmed until the linked test has been run. Source: project code as at commit 05e84ee and Fleet-Power-Automate-Build-Guide-v4.pdf.</t>
  </si>
  <si>
    <t>Source: scripts/2-Seed-TestData.ps1. Times are relative to the moment the seed was run.</t>
  </si>
  <si>
    <t>Drivers (DriversMaster)</t>
  </si>
  <si>
    <t>Driver</t>
  </si>
  <si>
    <t>Home property</t>
  </si>
  <si>
    <t>Also allocated to</t>
  </si>
  <si>
    <t>Qualified for</t>
  </si>
  <si>
    <t>Cap</t>
  </si>
  <si>
    <t>Licence expires</t>
  </si>
  <si>
    <t>Why it is in the seed</t>
  </si>
  <si>
    <t>Rashid Al Mansoori</t>
  </si>
  <si>
    <t>Dubai Head Office</t>
  </si>
  <si>
    <t>Abu Dhabi Site</t>
  </si>
  <si>
    <t>Patrol, Pathfinder, Kicks / Creta, Others</t>
  </si>
  <si>
    <t>On Trip</t>
  </si>
  <si>
    <t>+2 years</t>
  </si>
  <si>
    <t>Your account. Multi-property. Holds FB-0004.</t>
  </si>
  <si>
    <t>Suresh Nair</t>
  </si>
  <si>
    <t>Available</t>
  </si>
  <si>
    <t>+1 year</t>
  </si>
  <si>
    <t>Second Dubai passenger driver, for the race. Account only if -OtherDriverUpns given.</t>
  </si>
  <si>
    <t>Mohammed Iqbal</t>
  </si>
  <si>
    <t>All four vans, Others</t>
  </si>
  <si>
    <t>+8 months</t>
  </si>
  <si>
    <t>Van driver. Must not get passenger offers.</t>
  </si>
  <si>
    <t>Jomon Varghese</t>
  </si>
  <si>
    <t>+3 years</t>
  </si>
  <si>
    <t>Abu Dhabi only. Must not get Dubai offers.</t>
  </si>
  <si>
    <t>Ali Hassan</t>
  </si>
  <si>
    <t>On Leave</t>
  </si>
  <si>
    <t>Leave block from 2 days ago to 5 days ahead.</t>
  </si>
  <si>
    <t>Arun Prasad</t>
  </si>
  <si>
    <t>+10 days</t>
  </si>
  <si>
    <t>Licence check. Excluded from trips after expiry.</t>
  </si>
  <si>
    <t>Vehicles (VehicleMaster)</t>
  </si>
  <si>
    <t>Plate</t>
  </si>
  <si>
    <t>Vehicle</t>
  </si>
  <si>
    <t>Property</t>
  </si>
  <si>
    <t>Default driver</t>
  </si>
  <si>
    <t>A 12345</t>
  </si>
  <si>
    <t>Patrol</t>
  </si>
  <si>
    <t>White Nissan Patrol</t>
  </si>
  <si>
    <t>On FB-0004. The only Dubai Patrol.</t>
  </si>
  <si>
    <t>B 23456</t>
  </si>
  <si>
    <t>Pathfinder</t>
  </si>
  <si>
    <t>Silver Nissan Pathfinder</t>
  </si>
  <si>
    <t>C 34567</t>
  </si>
  <si>
    <t>Kicks / Creta</t>
  </si>
  <si>
    <t>Grey Hyundai Creta</t>
  </si>
  <si>
    <t>D 45678</t>
  </si>
  <si>
    <t>Cargo Van</t>
  </si>
  <si>
    <t>White Toyota Hiace</t>
  </si>
  <si>
    <t>E 56789</t>
  </si>
  <si>
    <t>Chiller Van</t>
  </si>
  <si>
    <t>White Isuzu NPR</t>
  </si>
  <si>
    <t>Under Maintenance</t>
  </si>
  <si>
    <t>Maintenance block. The only Chiller Van.</t>
  </si>
  <si>
    <t>F 67890</t>
  </si>
  <si>
    <t>Hot and Cold Van</t>
  </si>
  <si>
    <t>White Isuzu NQR</t>
  </si>
  <si>
    <t>G 78901</t>
  </si>
  <si>
    <t>Animal Van</t>
  </si>
  <si>
    <t>Blue Mitsubishi Canter</t>
  </si>
  <si>
    <t>H 89012</t>
  </si>
  <si>
    <t>Black Nissan Patrol</t>
  </si>
  <si>
    <t>The only Abu Dhabi vehicle.</t>
  </si>
  <si>
    <t>Requests (TransportRequests)</t>
  </si>
  <si>
    <t>Reference</t>
  </si>
  <si>
    <t>Route</t>
  </si>
  <si>
    <t>Vehicle type</t>
  </si>
  <si>
    <t>Required</t>
  </si>
  <si>
    <t>What it proves</t>
  </si>
  <si>
    <t>FB-0001</t>
  </si>
  <si>
    <t>Submitted</t>
  </si>
  <si>
    <t>Staff</t>
  </si>
  <si>
    <t>Dubai Head Office to Al Barsha Clinic</t>
  </si>
  <si>
    <t>+3 hours</t>
  </si>
  <si>
    <t>Swept and broadcast the first time Dispatch is opened.</t>
  </si>
  <si>
    <t>FB-0002</t>
  </si>
  <si>
    <t>Broadcasting</t>
  </si>
  <si>
    <t>Client or Client Guest</t>
  </si>
  <si>
    <t>Dubai International T3 to Downtown Client Office</t>
  </si>
  <si>
    <t>+2 hours</t>
  </si>
  <si>
    <t>Open offers to Rashid and Suresh, 30-minute window. Accepting it finds no free Patrol.</t>
  </si>
  <si>
    <t>FB-0003</t>
  </si>
  <si>
    <t>Awaiting Coordinator</t>
  </si>
  <si>
    <t>Items or Documents</t>
  </si>
  <si>
    <t>Jebel Ali Warehouse to Mussafah Depot</t>
  </si>
  <si>
    <t>+5 hours</t>
  </si>
  <si>
    <t>Escalated, two rejections with reasons.</t>
  </si>
  <si>
    <t>FB-0004</t>
  </si>
  <si>
    <t>Allocated</t>
  </si>
  <si>
    <t>Marina Staff Residence to Dubai Head Office</t>
  </si>
  <si>
    <t>-40 minutes</t>
  </si>
  <si>
    <t>Trip En Route, ETA 12 min, opening reading 84120.</t>
  </si>
  <si>
    <t>FB-0005</t>
  </si>
  <si>
    <t>Completed</t>
  </si>
  <si>
    <t>Downtown Client Office to Dubai International T3</t>
  </si>
  <si>
    <t>-6 hours</t>
  </si>
  <si>
    <t>Completed trip, 42 km (61230 to 61272).</t>
  </si>
  <si>
    <t>FB-0006</t>
  </si>
  <si>
    <t>Cancelled</t>
  </si>
  <si>
    <t>Dubai Head Office to Marina Staff Residence</t>
  </si>
  <si>
    <t>-3 hours</t>
  </si>
  <si>
    <t>Cancelled with reason 'Meeting moved to Teams.'</t>
  </si>
  <si>
    <t>Locations</t>
  </si>
  <si>
    <t>Location</t>
  </si>
  <si>
    <t>Category</t>
  </si>
  <si>
    <t>Office</t>
  </si>
  <si>
    <t>Jebel Ali Warehouse</t>
  </si>
  <si>
    <t>Warehouse</t>
  </si>
  <si>
    <t>Dubai International T3</t>
  </si>
  <si>
    <t>Airport</t>
  </si>
  <si>
    <t>Al Barsha Clinic</t>
  </si>
  <si>
    <t>Hospital</t>
  </si>
  <si>
    <t>Marina Staff Residence</t>
  </si>
  <si>
    <t>Residence</t>
  </si>
  <si>
    <t>Downtown Client Office</t>
  </si>
  <si>
    <t>Abu Dhabi Site Office</t>
  </si>
  <si>
    <t>Yas Island Hotel</t>
  </si>
  <si>
    <t>Hotel</t>
  </si>
  <si>
    <t>Mussafah Depot</t>
  </si>
  <si>
    <t>Zayed International Airport</t>
  </si>
  <si>
    <t>Vehicle types</t>
  </si>
  <si>
    <t>Offered for</t>
  </si>
  <si>
    <t>Capacity</t>
  </si>
  <si>
    <t>Client or Client Guest, Staff</t>
  </si>
  <si>
    <t>Others</t>
  </si>
  <si>
    <t>All three request types</t>
  </si>
  <si>
    <t>Allocation rules (6 rows, one per property per request type)</t>
  </si>
  <si>
    <t>Mode</t>
  </si>
  <si>
    <t>Offer window (min)</t>
  </si>
  <si>
    <t>Cap per driver</t>
  </si>
  <si>
    <t>Advance release (h)</t>
  </si>
  <si>
    <t>Notify En Route</t>
  </si>
  <si>
    <t>Notify In Transit</t>
  </si>
  <si>
    <t>Automatic</t>
  </si>
  <si>
    <t>Quick recipes</t>
  </si>
  <si>
    <t>To get this result</t>
  </si>
  <si>
    <t>Book this</t>
  </si>
  <si>
    <t>Broadcast to Rashid and Suresh</t>
  </si>
  <si>
    <t>Dubai pickup, today within 4 hours, Staff or Client, Kicks / Creta or Pathfinder</t>
  </si>
  <si>
    <t>Broadcast to Mohammed and Arun</t>
  </si>
  <si>
    <t>Dubai pickup, today, Items or Documents, Cargo Van</t>
  </si>
  <si>
    <t>Broadcast to Rashid and Jomon</t>
  </si>
  <si>
    <t>Abu Dhabi pickup, today, Staff or Client, Patrol</t>
  </si>
  <si>
    <t>Chiller Van from Dubai, or vehicle type Others, or any van from Abu Dhabi</t>
  </si>
  <si>
    <t>Held advance booking</t>
  </si>
  <si>
    <t>Any request more than 4 hours ahead</t>
  </si>
  <si>
    <t>Bug ID</t>
  </si>
  <si>
    <t>Date found</t>
  </si>
  <si>
    <t>Test case ID</t>
  </si>
  <si>
    <t>Summary</t>
  </si>
  <si>
    <t>Steps to reproduce</t>
  </si>
  <si>
    <t>Expected</t>
  </si>
  <si>
    <t>Actual</t>
  </si>
  <si>
    <t>Severity</t>
  </si>
  <si>
    <t>Evidence (screenshot / console)</t>
  </si>
  <si>
    <t>Fixed in / retest date</t>
  </si>
  <si>
    <t>EXAMPLE</t>
  </si>
  <si>
    <t>12-Oct-2026</t>
  </si>
  <si>
    <t>Wrong notice when no vehicle is free</t>
  </si>
  <si>
    <t>1. Fresh seed.
2. Open Driver.aspx as Rashid.
3. Click Accept on FB-0002.</t>
  </si>
  <si>
    <t>Notice says no vehicle is available.</t>
  </si>
  <si>
    <t>Notice also says another driver accepted the trip first.</t>
  </si>
  <si>
    <t>Open</t>
  </si>
  <si>
    <t>Screenshot drv-014.png</t>
  </si>
  <si>
    <t>Row 2 is an example showing the expected format. Delete it or leave it; start your own entries from row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</si>
</sst>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F3864"/>
      <name val="Arial"/>
    </font>
    <font>
      <b/>
      <sz val="10"/>
      <name val="Arial"/>
    </font>
    <font>
      <sz val="10"/>
      <name val="Arial"/>
    </font>
    <font>
      <b/>
      <sz val="10"/>
      <color rgb="FFFFFFFF"/>
      <name val="Arial"/>
    </font>
    <font>
      <b/>
      <sz val="14"/>
      <color rgb="FF1F3864"/>
      <name val="Arial"/>
    </font>
    <font>
      <b/>
      <sz val="12"/>
      <color rgb="FF1F3864"/>
      <name val="Arial"/>
    </font>
    <font>
      <i/>
      <sz val="10"/>
      <color rgb="FF7F7F7F"/>
      <name val="Arial"/>
    </font>
  </fonts>
  <fills count="4">
    <fill>
      <patternFill patternType="none"/>
    </fill>
    <fill>
      <patternFill patternType="gray125"/>
    </fill>
    <fill>
      <patternFill patternType="solid">
        <fgColor rgb="FF1F3864"/>
      </patternFill>
    </fill>
    <fill>
      <patternFill patternType="solid">
        <fgColor rgb="FFFFF9D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5" fillId="0" borderId="0" xfId="0" applyFont="1"/>
    <xf numFmtId="0" fontId="3" fillId="0" borderId="0" xfId="0" applyFont="1"/>
    <xf numFmtId="0" fontId="4" fillId="2" borderId="1" xfId="0" applyFont="1" applyFill="1" applyBorder="1" applyAlignment="1">
      <alignment vertical="center" wrapText="1"/>
    </xf>
    <xf numFmtId="0" fontId="3" fillId="0" borderId="1" xfId="0" applyFont="1" applyBorder="1"/>
    <xf numFmtId="9" fontId="3" fillId="0" borderId="1" xfId="0" applyNumberFormat="1" applyFont="1" applyBorder="1"/>
    <xf numFmtId="0" fontId="2" fillId="0" borderId="1" xfId="0" applyFont="1" applyBorder="1"/>
    <xf numFmtId="9" fontId="2" fillId="0" borderId="1" xfId="0" applyNumberFormat="1" applyFont="1" applyBorder="1"/>
    <xf numFmtId="0" fontId="2" fillId="0" borderId="0" xfId="0" applyFont="1"/>
    <xf numFmtId="0" fontId="2" fillId="0" borderId="1" xfId="0" applyFont="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6" fillId="0" borderId="0" xfId="0" applyFont="1"/>
    <xf numFmtId="0" fontId="4" fillId="2" borderId="1" xfId="0" applyFont="1" applyFill="1" applyBorder="1"/>
    <xf numFmtId="0" fontId="7" fillId="0" borderId="1" xfId="0" applyFont="1" applyBorder="1" applyAlignment="1">
      <alignment vertical="top" wrapText="1"/>
    </xf>
    <xf numFmtId="0" fontId="3" fillId="0" borderId="0" xfId="0" applyFont="1" applyAlignment="1">
      <alignment vertical="top" wrapText="1"/>
    </xf>
    <xf numFmtId="0" fontId="0" fillId="0" borderId="0" xfId="0"/>
  </cellXfs>
  <cellStyles count="1">
    <cellStyle name="Normal" xfId="0" builtinId="0"/>
  </cellStyles>
  <dxfs count="3">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heetViews>
  <sheetFormatPr defaultRowHeight="14.4" x14ac:dyDescent="0.3"/>
  <cols>
    <col min="1" max="1" width="26" customWidth="1"/>
    <col min="2" max="2" width="110" customWidth="1"/>
  </cols>
  <sheetData>
    <row r="1" spans="1:2" ht="21" x14ac:dyDescent="0.4">
      <c r="A1" s="1" t="s">
        <v>0</v>
      </c>
    </row>
    <row r="3" spans="1:2" ht="26.4" x14ac:dyDescent="0.3">
      <c r="A3" s="2" t="s">
        <v>1</v>
      </c>
      <c r="B3" s="3" t="s">
        <v>2</v>
      </c>
    </row>
    <row r="4" spans="1:2" ht="79.2" x14ac:dyDescent="0.3">
      <c r="A4" s="2" t="s">
        <v>3</v>
      </c>
      <c r="B4" s="3" t="s">
        <v>4</v>
      </c>
    </row>
    <row r="5" spans="1:2" ht="26.4" x14ac:dyDescent="0.3">
      <c r="A5" s="2" t="s">
        <v>5</v>
      </c>
      <c r="B5" s="3" t="s">
        <v>6</v>
      </c>
    </row>
    <row r="6" spans="1:2" x14ac:dyDescent="0.3">
      <c r="A6" s="2" t="s">
        <v>7</v>
      </c>
      <c r="B6" s="3" t="s">
        <v>8</v>
      </c>
    </row>
    <row r="7" spans="1:2" ht="66" x14ac:dyDescent="0.3">
      <c r="A7" s="2" t="s">
        <v>9</v>
      </c>
      <c r="B7" s="3" t="s">
        <v>10</v>
      </c>
    </row>
    <row r="8" spans="1:2" ht="52.8" x14ac:dyDescent="0.3">
      <c r="A8" s="2" t="s">
        <v>11</v>
      </c>
      <c r="B8" s="3" t="s">
        <v>12</v>
      </c>
    </row>
    <row r="9" spans="1:2" ht="26.4" x14ac:dyDescent="0.3">
      <c r="A9" s="2" t="s">
        <v>13</v>
      </c>
      <c r="B9" s="3" t="s">
        <v>14</v>
      </c>
    </row>
    <row r="10" spans="1:2" ht="26.4" x14ac:dyDescent="0.3">
      <c r="A10" s="2" t="s">
        <v>15</v>
      </c>
      <c r="B10" s="3" t="s">
        <v>16</v>
      </c>
    </row>
    <row r="11" spans="1:2" ht="39.6" x14ac:dyDescent="0.3">
      <c r="A11" s="2" t="s">
        <v>17</v>
      </c>
      <c r="B11" s="3" t="s">
        <v>18</v>
      </c>
    </row>
    <row r="12" spans="1:2" ht="26.4" x14ac:dyDescent="0.3">
      <c r="A12" s="2" t="s">
        <v>19</v>
      </c>
      <c r="B12" s="3" t="s">
        <v>20</v>
      </c>
    </row>
    <row r="13" spans="1:2" ht="26.4" x14ac:dyDescent="0.3">
      <c r="A13" s="2" t="s">
        <v>21</v>
      </c>
      <c r="B13" s="3"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workbookViewId="0"/>
  </sheetViews>
  <sheetFormatPr defaultRowHeight="14.4" x14ac:dyDescent="0.3"/>
  <cols>
    <col min="1" max="1" width="38" customWidth="1"/>
    <col min="2" max="7" width="9" customWidth="1"/>
    <col min="8" max="8" width="10" customWidth="1"/>
    <col min="9" max="9" width="16" customWidth="1"/>
  </cols>
  <sheetData>
    <row r="1" spans="1:9" ht="17.399999999999999" x14ac:dyDescent="0.3">
      <c r="A1" s="4" t="s">
        <v>23</v>
      </c>
    </row>
    <row r="2" spans="1:9" x14ac:dyDescent="0.3">
      <c r="A2" s="5" t="s">
        <v>24</v>
      </c>
    </row>
    <row r="4" spans="1:9" ht="30" customHeight="1" x14ac:dyDescent="0.3">
      <c r="A4" s="6" t="s">
        <v>25</v>
      </c>
      <c r="B4" s="6" t="s">
        <v>26</v>
      </c>
      <c r="C4" s="6" t="s">
        <v>27</v>
      </c>
      <c r="D4" s="6" t="s">
        <v>28</v>
      </c>
      <c r="E4" s="6" t="s">
        <v>29</v>
      </c>
      <c r="F4" s="6" t="s">
        <v>30</v>
      </c>
      <c r="G4" s="6" t="s">
        <v>31</v>
      </c>
      <c r="H4" s="6" t="s">
        <v>32</v>
      </c>
      <c r="I4" s="6" t="s">
        <v>33</v>
      </c>
    </row>
    <row r="5" spans="1:9" x14ac:dyDescent="0.3">
      <c r="A5" s="7" t="s">
        <v>34</v>
      </c>
      <c r="B5" s="7">
        <f>COUNTIF('Test Cases'!$B:$B,$A5)</f>
        <v>13</v>
      </c>
      <c r="C5" s="7">
        <f>COUNTIFS('Test Cases'!$B:$B,$A5,'Test Cases'!$L:$L,"Pass")</f>
        <v>0</v>
      </c>
      <c r="D5" s="7">
        <f>COUNTIFS('Test Cases'!$B:$B,$A5,'Test Cases'!$L:$L,"Fail")</f>
        <v>0</v>
      </c>
      <c r="E5" s="7">
        <f>COUNTIFS('Test Cases'!$B:$B,$A5,'Test Cases'!$L:$L,"Blocked")</f>
        <v>0</v>
      </c>
      <c r="F5" s="7">
        <f>COUNTIFS('Test Cases'!$B:$B,$A5,'Test Cases'!$L:$L,"N/A")</f>
        <v>0</v>
      </c>
      <c r="G5" s="7">
        <f>COUNTIFS('Test Cases'!$B:$B,$A5,'Test Cases'!$L:$L,"Not Run")</f>
        <v>13</v>
      </c>
      <c r="H5" s="8">
        <f t="shared" ref="H5:H17" si="0">IF(B5=0,0,(B5-G5)/B5)</f>
        <v>0</v>
      </c>
      <c r="I5" s="8">
        <f t="shared" ref="I5:I17" si="1">IF((C5+D5)=0,0,C5/(C5+D5))</f>
        <v>0</v>
      </c>
    </row>
    <row r="6" spans="1:9" x14ac:dyDescent="0.3">
      <c r="A6" s="7" t="s">
        <v>35</v>
      </c>
      <c r="B6" s="7">
        <f>COUNTIF('Test Cases'!$B:$B,$A6)</f>
        <v>10</v>
      </c>
      <c r="C6" s="7">
        <f>COUNTIFS('Test Cases'!$B:$B,$A6,'Test Cases'!$L:$L,"Pass")</f>
        <v>0</v>
      </c>
      <c r="D6" s="7">
        <f>COUNTIFS('Test Cases'!$B:$B,$A6,'Test Cases'!$L:$L,"Fail")</f>
        <v>0</v>
      </c>
      <c r="E6" s="7">
        <f>COUNTIFS('Test Cases'!$B:$B,$A6,'Test Cases'!$L:$L,"Blocked")</f>
        <v>0</v>
      </c>
      <c r="F6" s="7">
        <f>COUNTIFS('Test Cases'!$B:$B,$A6,'Test Cases'!$L:$L,"N/A")</f>
        <v>0</v>
      </c>
      <c r="G6" s="7">
        <f>COUNTIFS('Test Cases'!$B:$B,$A6,'Test Cases'!$L:$L,"Not Run")</f>
        <v>10</v>
      </c>
      <c r="H6" s="8">
        <f t="shared" si="0"/>
        <v>0</v>
      </c>
      <c r="I6" s="8">
        <f t="shared" si="1"/>
        <v>0</v>
      </c>
    </row>
    <row r="7" spans="1:9" x14ac:dyDescent="0.3">
      <c r="A7" s="7" t="s">
        <v>36</v>
      </c>
      <c r="B7" s="7">
        <f>COUNTIF('Test Cases'!$B:$B,$A7)</f>
        <v>42</v>
      </c>
      <c r="C7" s="7">
        <f>COUNTIFS('Test Cases'!$B:$B,$A7,'Test Cases'!$L:$L,"Pass")</f>
        <v>0</v>
      </c>
      <c r="D7" s="7">
        <f>COUNTIFS('Test Cases'!$B:$B,$A7,'Test Cases'!$L:$L,"Fail")</f>
        <v>0</v>
      </c>
      <c r="E7" s="7">
        <f>COUNTIFS('Test Cases'!$B:$B,$A7,'Test Cases'!$L:$L,"Blocked")</f>
        <v>0</v>
      </c>
      <c r="F7" s="7">
        <f>COUNTIFS('Test Cases'!$B:$B,$A7,'Test Cases'!$L:$L,"N/A")</f>
        <v>0</v>
      </c>
      <c r="G7" s="7">
        <f>COUNTIFS('Test Cases'!$B:$B,$A7,'Test Cases'!$L:$L,"Not Run")</f>
        <v>42</v>
      </c>
      <c r="H7" s="8">
        <f t="shared" si="0"/>
        <v>0</v>
      </c>
      <c r="I7" s="8">
        <f t="shared" si="1"/>
        <v>0</v>
      </c>
    </row>
    <row r="8" spans="1:9" x14ac:dyDescent="0.3">
      <c r="A8" s="7" t="s">
        <v>37</v>
      </c>
      <c r="B8" s="7">
        <f>COUNTIF('Test Cases'!$B:$B,$A8)</f>
        <v>20</v>
      </c>
      <c r="C8" s="7">
        <f>COUNTIFS('Test Cases'!$B:$B,$A8,'Test Cases'!$L:$L,"Pass")</f>
        <v>0</v>
      </c>
      <c r="D8" s="7">
        <f>COUNTIFS('Test Cases'!$B:$B,$A8,'Test Cases'!$L:$L,"Fail")</f>
        <v>0</v>
      </c>
      <c r="E8" s="7">
        <f>COUNTIFS('Test Cases'!$B:$B,$A8,'Test Cases'!$L:$L,"Blocked")</f>
        <v>0</v>
      </c>
      <c r="F8" s="7">
        <f>COUNTIFS('Test Cases'!$B:$B,$A8,'Test Cases'!$L:$L,"N/A")</f>
        <v>0</v>
      </c>
      <c r="G8" s="7">
        <f>COUNTIFS('Test Cases'!$B:$B,$A8,'Test Cases'!$L:$L,"Not Run")</f>
        <v>20</v>
      </c>
      <c r="H8" s="8">
        <f t="shared" si="0"/>
        <v>0</v>
      </c>
      <c r="I8" s="8">
        <f t="shared" si="1"/>
        <v>0</v>
      </c>
    </row>
    <row r="9" spans="1:9" x14ac:dyDescent="0.3">
      <c r="A9" s="7" t="s">
        <v>38</v>
      </c>
      <c r="B9" s="7">
        <f>COUNTIF('Test Cases'!$B:$B,$A9)</f>
        <v>23</v>
      </c>
      <c r="C9" s="7">
        <f>COUNTIFS('Test Cases'!$B:$B,$A9,'Test Cases'!$L:$L,"Pass")</f>
        <v>0</v>
      </c>
      <c r="D9" s="7">
        <f>COUNTIFS('Test Cases'!$B:$B,$A9,'Test Cases'!$L:$L,"Fail")</f>
        <v>0</v>
      </c>
      <c r="E9" s="7">
        <f>COUNTIFS('Test Cases'!$B:$B,$A9,'Test Cases'!$L:$L,"Blocked")</f>
        <v>0</v>
      </c>
      <c r="F9" s="7">
        <f>COUNTIFS('Test Cases'!$B:$B,$A9,'Test Cases'!$L:$L,"N/A")</f>
        <v>0</v>
      </c>
      <c r="G9" s="7">
        <f>COUNTIFS('Test Cases'!$B:$B,$A9,'Test Cases'!$L:$L,"Not Run")</f>
        <v>23</v>
      </c>
      <c r="H9" s="8">
        <f t="shared" si="0"/>
        <v>0</v>
      </c>
      <c r="I9" s="8">
        <f t="shared" si="1"/>
        <v>0</v>
      </c>
    </row>
    <row r="10" spans="1:9" x14ac:dyDescent="0.3">
      <c r="A10" s="7" t="s">
        <v>39</v>
      </c>
      <c r="B10" s="7">
        <f>COUNTIF('Test Cases'!$B:$B,$A10)</f>
        <v>36</v>
      </c>
      <c r="C10" s="7">
        <f>COUNTIFS('Test Cases'!$B:$B,$A10,'Test Cases'!$L:$L,"Pass")</f>
        <v>0</v>
      </c>
      <c r="D10" s="7">
        <f>COUNTIFS('Test Cases'!$B:$B,$A10,'Test Cases'!$L:$L,"Fail")</f>
        <v>0</v>
      </c>
      <c r="E10" s="7">
        <f>COUNTIFS('Test Cases'!$B:$B,$A10,'Test Cases'!$L:$L,"Blocked")</f>
        <v>0</v>
      </c>
      <c r="F10" s="7">
        <f>COUNTIFS('Test Cases'!$B:$B,$A10,'Test Cases'!$L:$L,"N/A")</f>
        <v>0</v>
      </c>
      <c r="G10" s="7">
        <f>COUNTIFS('Test Cases'!$B:$B,$A10,'Test Cases'!$L:$L,"Not Run")</f>
        <v>36</v>
      </c>
      <c r="H10" s="8">
        <f t="shared" si="0"/>
        <v>0</v>
      </c>
      <c r="I10" s="8">
        <f t="shared" si="1"/>
        <v>0</v>
      </c>
    </row>
    <row r="11" spans="1:9" x14ac:dyDescent="0.3">
      <c r="A11" s="7" t="s">
        <v>40</v>
      </c>
      <c r="B11" s="7">
        <f>COUNTIF('Test Cases'!$B:$B,$A11)</f>
        <v>37</v>
      </c>
      <c r="C11" s="7">
        <f>COUNTIFS('Test Cases'!$B:$B,$A11,'Test Cases'!$L:$L,"Pass")</f>
        <v>0</v>
      </c>
      <c r="D11" s="7">
        <f>COUNTIFS('Test Cases'!$B:$B,$A11,'Test Cases'!$L:$L,"Fail")</f>
        <v>0</v>
      </c>
      <c r="E11" s="7">
        <f>COUNTIFS('Test Cases'!$B:$B,$A11,'Test Cases'!$L:$L,"Blocked")</f>
        <v>0</v>
      </c>
      <c r="F11" s="7">
        <f>COUNTIFS('Test Cases'!$B:$B,$A11,'Test Cases'!$L:$L,"N/A")</f>
        <v>0</v>
      </c>
      <c r="G11" s="7">
        <f>COUNTIFS('Test Cases'!$B:$B,$A11,'Test Cases'!$L:$L,"Not Run")</f>
        <v>37</v>
      </c>
      <c r="H11" s="8">
        <f t="shared" si="0"/>
        <v>0</v>
      </c>
      <c r="I11" s="8">
        <f t="shared" si="1"/>
        <v>0</v>
      </c>
    </row>
    <row r="12" spans="1:9" x14ac:dyDescent="0.3">
      <c r="A12" s="7" t="s">
        <v>41</v>
      </c>
      <c r="B12" s="7">
        <f>COUNTIF('Test Cases'!$B:$B,$A12)</f>
        <v>23</v>
      </c>
      <c r="C12" s="7">
        <f>COUNTIFS('Test Cases'!$B:$B,$A12,'Test Cases'!$L:$L,"Pass")</f>
        <v>0</v>
      </c>
      <c r="D12" s="7">
        <f>COUNTIFS('Test Cases'!$B:$B,$A12,'Test Cases'!$L:$L,"Fail")</f>
        <v>0</v>
      </c>
      <c r="E12" s="7">
        <f>COUNTIFS('Test Cases'!$B:$B,$A12,'Test Cases'!$L:$L,"Blocked")</f>
        <v>0</v>
      </c>
      <c r="F12" s="7">
        <f>COUNTIFS('Test Cases'!$B:$B,$A12,'Test Cases'!$L:$L,"N/A")</f>
        <v>0</v>
      </c>
      <c r="G12" s="7">
        <f>COUNTIFS('Test Cases'!$B:$B,$A12,'Test Cases'!$L:$L,"Not Run")</f>
        <v>23</v>
      </c>
      <c r="H12" s="8">
        <f t="shared" si="0"/>
        <v>0</v>
      </c>
      <c r="I12" s="8">
        <f t="shared" si="1"/>
        <v>0</v>
      </c>
    </row>
    <row r="13" spans="1:9" x14ac:dyDescent="0.3">
      <c r="A13" s="7" t="s">
        <v>42</v>
      </c>
      <c r="B13" s="7">
        <f>COUNTIF('Test Cases'!$B:$B,$A13)</f>
        <v>38</v>
      </c>
      <c r="C13" s="7">
        <f>COUNTIFS('Test Cases'!$B:$B,$A13,'Test Cases'!$L:$L,"Pass")</f>
        <v>0</v>
      </c>
      <c r="D13" s="7">
        <f>COUNTIFS('Test Cases'!$B:$B,$A13,'Test Cases'!$L:$L,"Fail")</f>
        <v>0</v>
      </c>
      <c r="E13" s="7">
        <f>COUNTIFS('Test Cases'!$B:$B,$A13,'Test Cases'!$L:$L,"Blocked")</f>
        <v>0</v>
      </c>
      <c r="F13" s="7">
        <f>COUNTIFS('Test Cases'!$B:$B,$A13,'Test Cases'!$L:$L,"N/A")</f>
        <v>0</v>
      </c>
      <c r="G13" s="7">
        <f>COUNTIFS('Test Cases'!$B:$B,$A13,'Test Cases'!$L:$L,"Not Run")</f>
        <v>38</v>
      </c>
      <c r="H13" s="8">
        <f t="shared" si="0"/>
        <v>0</v>
      </c>
      <c r="I13" s="8">
        <f t="shared" si="1"/>
        <v>0</v>
      </c>
    </row>
    <row r="14" spans="1:9" x14ac:dyDescent="0.3">
      <c r="A14" s="7" t="s">
        <v>43</v>
      </c>
      <c r="B14" s="7">
        <f>COUNTIF('Test Cases'!$B:$B,$A14)</f>
        <v>9</v>
      </c>
      <c r="C14" s="7">
        <f>COUNTIFS('Test Cases'!$B:$B,$A14,'Test Cases'!$L:$L,"Pass")</f>
        <v>0</v>
      </c>
      <c r="D14" s="7">
        <f>COUNTIFS('Test Cases'!$B:$B,$A14,'Test Cases'!$L:$L,"Fail")</f>
        <v>0</v>
      </c>
      <c r="E14" s="7">
        <f>COUNTIFS('Test Cases'!$B:$B,$A14,'Test Cases'!$L:$L,"Blocked")</f>
        <v>0</v>
      </c>
      <c r="F14" s="7">
        <f>COUNTIFS('Test Cases'!$B:$B,$A14,'Test Cases'!$L:$L,"N/A")</f>
        <v>0</v>
      </c>
      <c r="G14" s="7">
        <f>COUNTIFS('Test Cases'!$B:$B,$A14,'Test Cases'!$L:$L,"Not Run")</f>
        <v>9</v>
      </c>
      <c r="H14" s="8">
        <f t="shared" si="0"/>
        <v>0</v>
      </c>
      <c r="I14" s="8">
        <f t="shared" si="1"/>
        <v>0</v>
      </c>
    </row>
    <row r="15" spans="1:9" x14ac:dyDescent="0.3">
      <c r="A15" s="7" t="s">
        <v>44</v>
      </c>
      <c r="B15" s="7">
        <f>COUNTIF('Test Cases'!$B:$B,$A15)</f>
        <v>10</v>
      </c>
      <c r="C15" s="7">
        <f>COUNTIFS('Test Cases'!$B:$B,$A15,'Test Cases'!$L:$L,"Pass")</f>
        <v>0</v>
      </c>
      <c r="D15" s="7">
        <f>COUNTIFS('Test Cases'!$B:$B,$A15,'Test Cases'!$L:$L,"Fail")</f>
        <v>0</v>
      </c>
      <c r="E15" s="7">
        <f>COUNTIFS('Test Cases'!$B:$B,$A15,'Test Cases'!$L:$L,"Blocked")</f>
        <v>0</v>
      </c>
      <c r="F15" s="7">
        <f>COUNTIFS('Test Cases'!$B:$B,$A15,'Test Cases'!$L:$L,"N/A")</f>
        <v>0</v>
      </c>
      <c r="G15" s="7">
        <f>COUNTIFS('Test Cases'!$B:$B,$A15,'Test Cases'!$L:$L,"Not Run")</f>
        <v>10</v>
      </c>
      <c r="H15" s="8">
        <f t="shared" si="0"/>
        <v>0</v>
      </c>
      <c r="I15" s="8">
        <f t="shared" si="1"/>
        <v>0</v>
      </c>
    </row>
    <row r="16" spans="1:9" x14ac:dyDescent="0.3">
      <c r="A16" s="7" t="s">
        <v>45</v>
      </c>
      <c r="B16" s="7">
        <f>COUNTIF('Test Cases'!$B:$B,$A16)</f>
        <v>16</v>
      </c>
      <c r="C16" s="7">
        <f>COUNTIFS('Test Cases'!$B:$B,$A16,'Test Cases'!$L:$L,"Pass")</f>
        <v>0</v>
      </c>
      <c r="D16" s="7">
        <f>COUNTIFS('Test Cases'!$B:$B,$A16,'Test Cases'!$L:$L,"Fail")</f>
        <v>0</v>
      </c>
      <c r="E16" s="7">
        <f>COUNTIFS('Test Cases'!$B:$B,$A16,'Test Cases'!$L:$L,"Blocked")</f>
        <v>0</v>
      </c>
      <c r="F16" s="7">
        <f>COUNTIFS('Test Cases'!$B:$B,$A16,'Test Cases'!$L:$L,"N/A")</f>
        <v>0</v>
      </c>
      <c r="G16" s="7">
        <f>COUNTIFS('Test Cases'!$B:$B,$A16,'Test Cases'!$L:$L,"Not Run")</f>
        <v>16</v>
      </c>
      <c r="H16" s="8">
        <f t="shared" si="0"/>
        <v>0</v>
      </c>
      <c r="I16" s="8">
        <f t="shared" si="1"/>
        <v>0</v>
      </c>
    </row>
    <row r="17" spans="1:9" x14ac:dyDescent="0.3">
      <c r="A17" s="9" t="s">
        <v>46</v>
      </c>
      <c r="B17" s="9">
        <f t="shared" ref="B17:G17" si="2">SUM(B5:B16)</f>
        <v>277</v>
      </c>
      <c r="C17" s="9">
        <f t="shared" si="2"/>
        <v>0</v>
      </c>
      <c r="D17" s="9">
        <f t="shared" si="2"/>
        <v>0</v>
      </c>
      <c r="E17" s="9">
        <f t="shared" si="2"/>
        <v>0</v>
      </c>
      <c r="F17" s="9">
        <f t="shared" si="2"/>
        <v>0</v>
      </c>
      <c r="G17" s="9">
        <f t="shared" si="2"/>
        <v>277</v>
      </c>
      <c r="H17" s="10">
        <f t="shared" si="0"/>
        <v>0</v>
      </c>
      <c r="I17" s="10">
        <f t="shared" si="1"/>
        <v>0</v>
      </c>
    </row>
    <row r="19" spans="1:9" x14ac:dyDescent="0.3">
      <c r="A19" s="11" t="s">
        <v>47</v>
      </c>
      <c r="B19" s="5">
        <f>COUNTIFS('Test Cases'!$F:$F,"High",'Test Cases'!$L:$L,"&lt;&gt;Pass")-COUNTIFS('Test Cases'!$F:$F,"High",'Test Cases'!$L:$L,"N/A")</f>
        <v>116</v>
      </c>
    </row>
    <row r="20" spans="1:9" x14ac:dyDescent="0.3">
      <c r="A20" s="11" t="s">
        <v>48</v>
      </c>
      <c r="B20" s="5">
        <f>COUNTIF('Test Cases'!$G:$G,"Yes")</f>
        <v>46</v>
      </c>
    </row>
    <row r="21" spans="1:9" x14ac:dyDescent="0.3">
      <c r="A21" s="11" t="s">
        <v>49</v>
      </c>
      <c r="B21" s="5">
        <f>COUNTIF('Test Cases'!$G:$G,"No")</f>
        <v>231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78"/>
  <sheetViews>
    <sheetView zoomScale="90" workbookViewId="0">
      <pane xSplit="3" ySplit="1" topLeftCell="D2" activePane="bottomRight" state="frozen"/>
      <selection pane="topRight"/>
      <selection pane="bottomLeft"/>
      <selection pane="bottomRight"/>
    </sheetView>
  </sheetViews>
  <sheetFormatPr defaultRowHeight="14.4" x14ac:dyDescent="0.3"/>
  <cols>
    <col min="1" max="1" width="10" customWidth="1"/>
    <col min="2" max="2" width="22" customWidth="1"/>
    <col min="3" max="3" width="20" customWidth="1"/>
    <col min="4" max="4" width="16" customWidth="1"/>
    <col min="5" max="5" width="11" customWidth="1"/>
    <col min="6" max="6" width="9" customWidth="1"/>
    <col min="7" max="7" width="8" customWidth="1"/>
    <col min="8" max="8" width="34" customWidth="1"/>
    <col min="9" max="9" width="52" customWidth="1"/>
    <col min="10" max="10" width="62" customWidth="1"/>
    <col min="11" max="11" width="36" customWidth="1"/>
    <col min="12" max="12" width="11" customWidth="1"/>
    <col min="13" max="13" width="24" customWidth="1"/>
    <col min="14" max="14" width="12" customWidth="1"/>
    <col min="15" max="15" width="13" customWidth="1"/>
  </cols>
  <sheetData>
    <row r="1" spans="1:15" ht="30" customHeight="1" x14ac:dyDescent="0.3">
      <c r="A1" s="6" t="s">
        <v>50</v>
      </c>
      <c r="B1" s="6" t="s">
        <v>25</v>
      </c>
      <c r="C1" s="6" t="s">
        <v>51</v>
      </c>
      <c r="D1" s="6" t="s">
        <v>52</v>
      </c>
      <c r="E1" s="6" t="s">
        <v>53</v>
      </c>
      <c r="F1" s="6" t="s">
        <v>54</v>
      </c>
      <c r="G1" s="6" t="s">
        <v>55</v>
      </c>
      <c r="H1" s="6" t="s">
        <v>56</v>
      </c>
      <c r="I1" s="6" t="s">
        <v>57</v>
      </c>
      <c r="J1" s="6" t="s">
        <v>58</v>
      </c>
      <c r="K1" s="6" t="s">
        <v>59</v>
      </c>
      <c r="L1" s="6" t="s">
        <v>60</v>
      </c>
      <c r="M1" s="6" t="s">
        <v>61</v>
      </c>
      <c r="N1" s="6" t="s">
        <v>62</v>
      </c>
      <c r="O1" s="6" t="s">
        <v>63</v>
      </c>
    </row>
    <row r="2" spans="1:15" ht="26.4" x14ac:dyDescent="0.3">
      <c r="A2" s="12" t="s">
        <v>64</v>
      </c>
      <c r="B2" s="13" t="s">
        <v>34</v>
      </c>
      <c r="C2" s="13" t="s">
        <v>65</v>
      </c>
      <c r="D2" s="13" t="s">
        <v>66</v>
      </c>
      <c r="E2" s="13" t="s">
        <v>67</v>
      </c>
      <c r="F2" s="13" t="s">
        <v>68</v>
      </c>
      <c r="G2" s="13" t="s">
        <v>69</v>
      </c>
      <c r="H2" s="13" t="s">
        <v>70</v>
      </c>
      <c r="I2" s="13" t="s">
        <v>71</v>
      </c>
      <c r="J2" s="13" t="s">
        <v>72</v>
      </c>
      <c r="K2" s="14"/>
      <c r="L2" s="14" t="s">
        <v>31</v>
      </c>
      <c r="M2" s="14"/>
      <c r="N2" s="14"/>
      <c r="O2" s="14"/>
    </row>
    <row r="3" spans="1:15" ht="26.4" x14ac:dyDescent="0.3">
      <c r="A3" s="12" t="s">
        <v>73</v>
      </c>
      <c r="B3" s="13" t="s">
        <v>34</v>
      </c>
      <c r="C3" s="13" t="s">
        <v>65</v>
      </c>
      <c r="D3" s="13" t="s">
        <v>66</v>
      </c>
      <c r="E3" s="13" t="s">
        <v>67</v>
      </c>
      <c r="F3" s="13" t="s">
        <v>68</v>
      </c>
      <c r="G3" s="13" t="s">
        <v>69</v>
      </c>
      <c r="H3" s="13" t="s">
        <v>74</v>
      </c>
      <c r="I3" s="13" t="s">
        <v>75</v>
      </c>
      <c r="J3" s="13" t="s">
        <v>76</v>
      </c>
      <c r="K3" s="14"/>
      <c r="L3" s="14" t="s">
        <v>31</v>
      </c>
      <c r="M3" s="14"/>
      <c r="N3" s="14"/>
      <c r="O3" s="14"/>
    </row>
    <row r="4" spans="1:15" ht="26.4" x14ac:dyDescent="0.3">
      <c r="A4" s="12" t="s">
        <v>77</v>
      </c>
      <c r="B4" s="13" t="s">
        <v>34</v>
      </c>
      <c r="C4" s="13" t="s">
        <v>65</v>
      </c>
      <c r="D4" s="13" t="s">
        <v>66</v>
      </c>
      <c r="E4" s="13" t="s">
        <v>67</v>
      </c>
      <c r="F4" s="13" t="s">
        <v>78</v>
      </c>
      <c r="G4" s="13" t="s">
        <v>69</v>
      </c>
      <c r="H4" s="13" t="s">
        <v>74</v>
      </c>
      <c r="I4" s="13" t="s">
        <v>79</v>
      </c>
      <c r="J4" s="13" t="s">
        <v>80</v>
      </c>
      <c r="K4" s="14"/>
      <c r="L4" s="14" t="s">
        <v>31</v>
      </c>
      <c r="M4" s="14"/>
      <c r="N4" s="14"/>
      <c r="O4" s="14"/>
    </row>
    <row r="5" spans="1:15" ht="92.4" x14ac:dyDescent="0.3">
      <c r="A5" s="12" t="s">
        <v>81</v>
      </c>
      <c r="B5" s="13" t="s">
        <v>34</v>
      </c>
      <c r="C5" s="13" t="s">
        <v>82</v>
      </c>
      <c r="D5" s="13" t="s">
        <v>83</v>
      </c>
      <c r="E5" s="13" t="s">
        <v>67</v>
      </c>
      <c r="F5" s="13" t="s">
        <v>68</v>
      </c>
      <c r="G5" s="13" t="s">
        <v>69</v>
      </c>
      <c r="H5" s="13" t="s">
        <v>84</v>
      </c>
      <c r="I5" s="13" t="s">
        <v>85</v>
      </c>
      <c r="J5" s="13" t="s">
        <v>86</v>
      </c>
      <c r="K5" s="14"/>
      <c r="L5" s="14" t="s">
        <v>31</v>
      </c>
      <c r="M5" s="14"/>
      <c r="N5" s="14"/>
      <c r="O5" s="14"/>
    </row>
    <row r="6" spans="1:15" ht="26.4" x14ac:dyDescent="0.3">
      <c r="A6" s="12" t="s">
        <v>87</v>
      </c>
      <c r="B6" s="13" t="s">
        <v>34</v>
      </c>
      <c r="C6" s="13" t="s">
        <v>82</v>
      </c>
      <c r="D6" s="13" t="s">
        <v>83</v>
      </c>
      <c r="E6" s="13" t="s">
        <v>67</v>
      </c>
      <c r="F6" s="13" t="s">
        <v>78</v>
      </c>
      <c r="G6" s="13" t="s">
        <v>69</v>
      </c>
      <c r="H6" s="13" t="s">
        <v>88</v>
      </c>
      <c r="I6" s="13" t="s">
        <v>89</v>
      </c>
      <c r="J6" s="13" t="s">
        <v>90</v>
      </c>
      <c r="K6" s="14"/>
      <c r="L6" s="14" t="s">
        <v>31</v>
      </c>
      <c r="M6" s="14"/>
      <c r="N6" s="14"/>
      <c r="O6" s="14"/>
    </row>
    <row r="7" spans="1:15" ht="92.4" x14ac:dyDescent="0.3">
      <c r="A7" s="12" t="s">
        <v>91</v>
      </c>
      <c r="B7" s="13" t="s">
        <v>34</v>
      </c>
      <c r="C7" s="13" t="s">
        <v>92</v>
      </c>
      <c r="D7" s="13" t="s">
        <v>83</v>
      </c>
      <c r="E7" s="13" t="s">
        <v>67</v>
      </c>
      <c r="F7" s="13" t="s">
        <v>68</v>
      </c>
      <c r="G7" s="13" t="s">
        <v>69</v>
      </c>
      <c r="H7" s="13" t="s">
        <v>93</v>
      </c>
      <c r="I7" s="13" t="s">
        <v>94</v>
      </c>
      <c r="J7" s="13" t="s">
        <v>95</v>
      </c>
      <c r="K7" s="14"/>
      <c r="L7" s="14" t="s">
        <v>31</v>
      </c>
      <c r="M7" s="14"/>
      <c r="N7" s="14"/>
      <c r="O7" s="14"/>
    </row>
    <row r="8" spans="1:15" ht="26.4" x14ac:dyDescent="0.3">
      <c r="A8" s="12" t="s">
        <v>96</v>
      </c>
      <c r="B8" s="13" t="s">
        <v>34</v>
      </c>
      <c r="C8" s="13" t="s">
        <v>92</v>
      </c>
      <c r="D8" s="13" t="s">
        <v>83</v>
      </c>
      <c r="E8" s="13" t="s">
        <v>97</v>
      </c>
      <c r="F8" s="13" t="s">
        <v>98</v>
      </c>
      <c r="G8" s="13" t="s">
        <v>69</v>
      </c>
      <c r="H8" s="13" t="s">
        <v>99</v>
      </c>
      <c r="I8" s="13" t="s">
        <v>100</v>
      </c>
      <c r="J8" s="13" t="s">
        <v>101</v>
      </c>
      <c r="K8" s="14"/>
      <c r="L8" s="14" t="s">
        <v>31</v>
      </c>
      <c r="M8" s="14"/>
      <c r="N8" s="14"/>
      <c r="O8" s="14"/>
    </row>
    <row r="9" spans="1:15" ht="39.6" x14ac:dyDescent="0.3">
      <c r="A9" s="12" t="s">
        <v>102</v>
      </c>
      <c r="B9" s="13" t="s">
        <v>34</v>
      </c>
      <c r="C9" s="13" t="s">
        <v>92</v>
      </c>
      <c r="D9" s="13" t="s">
        <v>83</v>
      </c>
      <c r="E9" s="13" t="s">
        <v>67</v>
      </c>
      <c r="F9" s="13" t="s">
        <v>98</v>
      </c>
      <c r="G9" s="13" t="s">
        <v>69</v>
      </c>
      <c r="H9" s="13" t="s">
        <v>103</v>
      </c>
      <c r="I9" s="13" t="s">
        <v>104</v>
      </c>
      <c r="J9" s="13" t="s">
        <v>105</v>
      </c>
      <c r="K9" s="14"/>
      <c r="L9" s="14" t="s">
        <v>31</v>
      </c>
      <c r="M9" s="14"/>
      <c r="N9" s="14"/>
      <c r="O9" s="14"/>
    </row>
    <row r="10" spans="1:15" ht="52.8" x14ac:dyDescent="0.3">
      <c r="A10" s="12" t="s">
        <v>106</v>
      </c>
      <c r="B10" s="13" t="s">
        <v>34</v>
      </c>
      <c r="C10" s="13" t="s">
        <v>107</v>
      </c>
      <c r="D10" s="13" t="s">
        <v>108</v>
      </c>
      <c r="E10" s="13" t="s">
        <v>67</v>
      </c>
      <c r="F10" s="13" t="s">
        <v>68</v>
      </c>
      <c r="G10" s="13" t="s">
        <v>69</v>
      </c>
      <c r="H10" s="13" t="s">
        <v>109</v>
      </c>
      <c r="I10" s="13" t="s">
        <v>110</v>
      </c>
      <c r="J10" s="13" t="s">
        <v>111</v>
      </c>
      <c r="K10" s="14"/>
      <c r="L10" s="14" t="s">
        <v>31</v>
      </c>
      <c r="M10" s="14"/>
      <c r="N10" s="14"/>
      <c r="O10" s="14"/>
    </row>
    <row r="11" spans="1:15" ht="66" x14ac:dyDescent="0.3">
      <c r="A11" s="12" t="s">
        <v>112</v>
      </c>
      <c r="B11" s="13" t="s">
        <v>34</v>
      </c>
      <c r="C11" s="13" t="s">
        <v>113</v>
      </c>
      <c r="D11" s="13" t="s">
        <v>66</v>
      </c>
      <c r="E11" s="13" t="s">
        <v>67</v>
      </c>
      <c r="F11" s="13" t="s">
        <v>68</v>
      </c>
      <c r="G11" s="13" t="s">
        <v>69</v>
      </c>
      <c r="H11" s="13" t="s">
        <v>114</v>
      </c>
      <c r="I11" s="13" t="s">
        <v>115</v>
      </c>
      <c r="J11" s="13" t="s">
        <v>116</v>
      </c>
      <c r="K11" s="14"/>
      <c r="L11" s="14" t="s">
        <v>31</v>
      </c>
      <c r="M11" s="14"/>
      <c r="N11" s="14"/>
      <c r="O11" s="14"/>
    </row>
    <row r="12" spans="1:15" ht="66" x14ac:dyDescent="0.3">
      <c r="A12" s="12" t="s">
        <v>117</v>
      </c>
      <c r="B12" s="13" t="s">
        <v>34</v>
      </c>
      <c r="C12" s="13" t="s">
        <v>118</v>
      </c>
      <c r="D12" s="13" t="s">
        <v>119</v>
      </c>
      <c r="E12" s="13" t="s">
        <v>67</v>
      </c>
      <c r="F12" s="13" t="s">
        <v>68</v>
      </c>
      <c r="G12" s="13" t="s">
        <v>69</v>
      </c>
      <c r="H12" s="13" t="s">
        <v>120</v>
      </c>
      <c r="I12" s="13" t="s">
        <v>121</v>
      </c>
      <c r="J12" s="13" t="s">
        <v>122</v>
      </c>
      <c r="K12" s="14"/>
      <c r="L12" s="14" t="s">
        <v>31</v>
      </c>
      <c r="M12" s="14"/>
      <c r="N12" s="14"/>
      <c r="O12" s="14"/>
    </row>
    <row r="13" spans="1:15" ht="105.6" x14ac:dyDescent="0.3">
      <c r="A13" s="12" t="s">
        <v>123</v>
      </c>
      <c r="B13" s="13" t="s">
        <v>34</v>
      </c>
      <c r="C13" s="13" t="s">
        <v>124</v>
      </c>
      <c r="D13" s="13" t="s">
        <v>108</v>
      </c>
      <c r="E13" s="13" t="s">
        <v>67</v>
      </c>
      <c r="F13" s="13" t="s">
        <v>68</v>
      </c>
      <c r="G13" s="13" t="s">
        <v>69</v>
      </c>
      <c r="H13" s="13" t="s">
        <v>125</v>
      </c>
      <c r="I13" s="13" t="s">
        <v>126</v>
      </c>
      <c r="J13" s="13" t="s">
        <v>127</v>
      </c>
      <c r="K13" s="14"/>
      <c r="L13" s="14" t="s">
        <v>31</v>
      </c>
      <c r="M13" s="14"/>
      <c r="N13" s="14"/>
      <c r="O13" s="14"/>
    </row>
    <row r="14" spans="1:15" ht="105.6" x14ac:dyDescent="0.3">
      <c r="A14" s="12" t="s">
        <v>128</v>
      </c>
      <c r="B14" s="13" t="s">
        <v>34</v>
      </c>
      <c r="C14" s="13" t="s">
        <v>129</v>
      </c>
      <c r="D14" s="13" t="s">
        <v>66</v>
      </c>
      <c r="E14" s="13" t="s">
        <v>67</v>
      </c>
      <c r="F14" s="13" t="s">
        <v>78</v>
      </c>
      <c r="G14" s="13" t="s">
        <v>69</v>
      </c>
      <c r="H14" s="13" t="s">
        <v>130</v>
      </c>
      <c r="I14" s="13" t="s">
        <v>131</v>
      </c>
      <c r="J14" s="13" t="s">
        <v>132</v>
      </c>
      <c r="K14" s="14"/>
      <c r="L14" s="14" t="s">
        <v>31</v>
      </c>
      <c r="M14" s="14"/>
      <c r="N14" s="14"/>
      <c r="O14" s="14"/>
    </row>
    <row r="15" spans="1:15" ht="26.4" x14ac:dyDescent="0.3">
      <c r="A15" s="12" t="s">
        <v>133</v>
      </c>
      <c r="B15" s="13" t="s">
        <v>35</v>
      </c>
      <c r="C15" s="13" t="s">
        <v>134</v>
      </c>
      <c r="D15" s="13" t="s">
        <v>108</v>
      </c>
      <c r="E15" s="13" t="s">
        <v>135</v>
      </c>
      <c r="F15" s="13" t="s">
        <v>68</v>
      </c>
      <c r="G15" s="13" t="s">
        <v>69</v>
      </c>
      <c r="H15" s="13" t="s">
        <v>136</v>
      </c>
      <c r="I15" s="13" t="s">
        <v>137</v>
      </c>
      <c r="J15" s="13" t="s">
        <v>138</v>
      </c>
      <c r="K15" s="14"/>
      <c r="L15" s="14" t="s">
        <v>31</v>
      </c>
      <c r="M15" s="14"/>
      <c r="N15" s="14"/>
      <c r="O15" s="14"/>
    </row>
    <row r="16" spans="1:15" ht="26.4" x14ac:dyDescent="0.3">
      <c r="A16" s="12" t="s">
        <v>139</v>
      </c>
      <c r="B16" s="13" t="s">
        <v>35</v>
      </c>
      <c r="C16" s="13" t="s">
        <v>134</v>
      </c>
      <c r="D16" s="13" t="s">
        <v>140</v>
      </c>
      <c r="E16" s="13" t="s">
        <v>135</v>
      </c>
      <c r="F16" s="13" t="s">
        <v>78</v>
      </c>
      <c r="G16" s="13" t="s">
        <v>69</v>
      </c>
      <c r="H16" s="13" t="s">
        <v>141</v>
      </c>
      <c r="I16" s="13" t="s">
        <v>142</v>
      </c>
      <c r="J16" s="13" t="s">
        <v>143</v>
      </c>
      <c r="K16" s="14"/>
      <c r="L16" s="14" t="s">
        <v>31</v>
      </c>
      <c r="M16" s="14"/>
      <c r="N16" s="14"/>
      <c r="O16" s="14"/>
    </row>
    <row r="17" spans="1:15" ht="39.6" x14ac:dyDescent="0.3">
      <c r="A17" s="12" t="s">
        <v>144</v>
      </c>
      <c r="B17" s="13" t="s">
        <v>35</v>
      </c>
      <c r="C17" s="13" t="s">
        <v>134</v>
      </c>
      <c r="D17" s="13" t="s">
        <v>140</v>
      </c>
      <c r="E17" s="13" t="s">
        <v>97</v>
      </c>
      <c r="F17" s="13" t="s">
        <v>68</v>
      </c>
      <c r="G17" s="13" t="s">
        <v>69</v>
      </c>
      <c r="H17" s="13" t="s">
        <v>145</v>
      </c>
      <c r="I17" s="13" t="s">
        <v>146</v>
      </c>
      <c r="J17" s="13" t="s">
        <v>147</v>
      </c>
      <c r="K17" s="14"/>
      <c r="L17" s="14" t="s">
        <v>31</v>
      </c>
      <c r="M17" s="14"/>
      <c r="N17" s="14"/>
      <c r="O17" s="14"/>
    </row>
    <row r="18" spans="1:15" ht="39.6" x14ac:dyDescent="0.3">
      <c r="A18" s="12" t="s">
        <v>148</v>
      </c>
      <c r="B18" s="13" t="s">
        <v>35</v>
      </c>
      <c r="C18" s="13" t="s">
        <v>134</v>
      </c>
      <c r="D18" s="13" t="s">
        <v>149</v>
      </c>
      <c r="E18" s="13" t="s">
        <v>97</v>
      </c>
      <c r="F18" s="13" t="s">
        <v>78</v>
      </c>
      <c r="G18" s="13" t="s">
        <v>69</v>
      </c>
      <c r="H18" s="13" t="s">
        <v>150</v>
      </c>
      <c r="I18" s="13" t="s">
        <v>151</v>
      </c>
      <c r="J18" s="13" t="s">
        <v>152</v>
      </c>
      <c r="K18" s="14"/>
      <c r="L18" s="14" t="s">
        <v>31</v>
      </c>
      <c r="M18" s="14"/>
      <c r="N18" s="14"/>
      <c r="O18" s="14"/>
    </row>
    <row r="19" spans="1:15" ht="39.6" x14ac:dyDescent="0.3">
      <c r="A19" s="12" t="s">
        <v>153</v>
      </c>
      <c r="B19" s="13" t="s">
        <v>35</v>
      </c>
      <c r="C19" s="13" t="s">
        <v>154</v>
      </c>
      <c r="D19" s="13" t="s">
        <v>155</v>
      </c>
      <c r="E19" s="13" t="s">
        <v>97</v>
      </c>
      <c r="F19" s="13" t="s">
        <v>68</v>
      </c>
      <c r="G19" s="13" t="s">
        <v>69</v>
      </c>
      <c r="H19" s="13" t="s">
        <v>156</v>
      </c>
      <c r="I19" s="13" t="s">
        <v>157</v>
      </c>
      <c r="J19" s="13" t="s">
        <v>158</v>
      </c>
      <c r="K19" s="14"/>
      <c r="L19" s="14" t="s">
        <v>31</v>
      </c>
      <c r="M19" s="14"/>
      <c r="N19" s="14"/>
      <c r="O19" s="14"/>
    </row>
    <row r="20" spans="1:15" ht="39.6" x14ac:dyDescent="0.3">
      <c r="A20" s="12" t="s">
        <v>159</v>
      </c>
      <c r="B20" s="13" t="s">
        <v>35</v>
      </c>
      <c r="C20" s="13" t="s">
        <v>154</v>
      </c>
      <c r="D20" s="13" t="s">
        <v>108</v>
      </c>
      <c r="E20" s="13" t="s">
        <v>135</v>
      </c>
      <c r="F20" s="13" t="s">
        <v>78</v>
      </c>
      <c r="G20" s="13" t="s">
        <v>69</v>
      </c>
      <c r="H20" s="13" t="s">
        <v>160</v>
      </c>
      <c r="I20" s="13" t="s">
        <v>161</v>
      </c>
      <c r="J20" s="13" t="s">
        <v>162</v>
      </c>
      <c r="K20" s="14"/>
      <c r="L20" s="14" t="s">
        <v>31</v>
      </c>
      <c r="M20" s="14"/>
      <c r="N20" s="14"/>
      <c r="O20" s="14"/>
    </row>
    <row r="21" spans="1:15" ht="39.6" x14ac:dyDescent="0.3">
      <c r="A21" s="12" t="s">
        <v>163</v>
      </c>
      <c r="B21" s="13" t="s">
        <v>35</v>
      </c>
      <c r="C21" s="13" t="s">
        <v>164</v>
      </c>
      <c r="D21" s="13" t="s">
        <v>140</v>
      </c>
      <c r="E21" s="13" t="s">
        <v>67</v>
      </c>
      <c r="F21" s="13" t="s">
        <v>78</v>
      </c>
      <c r="G21" s="13" t="s">
        <v>69</v>
      </c>
      <c r="H21" s="13" t="s">
        <v>141</v>
      </c>
      <c r="I21" s="13" t="s">
        <v>165</v>
      </c>
      <c r="J21" s="13" t="s">
        <v>166</v>
      </c>
      <c r="K21" s="14"/>
      <c r="L21" s="14" t="s">
        <v>31</v>
      </c>
      <c r="M21" s="14"/>
      <c r="N21" s="14"/>
      <c r="O21" s="14"/>
    </row>
    <row r="22" spans="1:15" ht="26.4" x14ac:dyDescent="0.3">
      <c r="A22" s="12" t="s">
        <v>167</v>
      </c>
      <c r="B22" s="13" t="s">
        <v>35</v>
      </c>
      <c r="C22" s="13" t="s">
        <v>168</v>
      </c>
      <c r="D22" s="13" t="s">
        <v>108</v>
      </c>
      <c r="E22" s="13" t="s">
        <v>135</v>
      </c>
      <c r="F22" s="13" t="s">
        <v>78</v>
      </c>
      <c r="G22" s="13" t="s">
        <v>69</v>
      </c>
      <c r="H22" s="13" t="s">
        <v>169</v>
      </c>
      <c r="I22" s="13" t="s">
        <v>170</v>
      </c>
      <c r="J22" s="13" t="s">
        <v>171</v>
      </c>
      <c r="K22" s="14"/>
      <c r="L22" s="14" t="s">
        <v>31</v>
      </c>
      <c r="M22" s="14"/>
      <c r="N22" s="14"/>
      <c r="O22" s="14"/>
    </row>
    <row r="23" spans="1:15" ht="26.4" x14ac:dyDescent="0.3">
      <c r="A23" s="12" t="s">
        <v>172</v>
      </c>
      <c r="B23" s="13" t="s">
        <v>35</v>
      </c>
      <c r="C23" s="13" t="s">
        <v>168</v>
      </c>
      <c r="D23" s="13" t="s">
        <v>173</v>
      </c>
      <c r="E23" s="13" t="s">
        <v>135</v>
      </c>
      <c r="F23" s="13" t="s">
        <v>78</v>
      </c>
      <c r="G23" s="13" t="s">
        <v>69</v>
      </c>
      <c r="H23" s="13" t="s">
        <v>174</v>
      </c>
      <c r="I23" s="13" t="s">
        <v>175</v>
      </c>
      <c r="J23" s="13" t="s">
        <v>176</v>
      </c>
      <c r="K23" s="14"/>
      <c r="L23" s="14" t="s">
        <v>31</v>
      </c>
      <c r="M23" s="14"/>
      <c r="N23" s="14"/>
      <c r="O23" s="14"/>
    </row>
    <row r="24" spans="1:15" ht="26.4" x14ac:dyDescent="0.3">
      <c r="A24" s="12" t="s">
        <v>177</v>
      </c>
      <c r="B24" s="13" t="s">
        <v>35</v>
      </c>
      <c r="C24" s="13" t="s">
        <v>178</v>
      </c>
      <c r="D24" s="13" t="s">
        <v>108</v>
      </c>
      <c r="E24" s="13" t="s">
        <v>179</v>
      </c>
      <c r="F24" s="13" t="s">
        <v>98</v>
      </c>
      <c r="G24" s="13" t="s">
        <v>69</v>
      </c>
      <c r="H24" s="13" t="s">
        <v>180</v>
      </c>
      <c r="I24" s="13" t="s">
        <v>181</v>
      </c>
      <c r="J24" s="13" t="s">
        <v>182</v>
      </c>
      <c r="K24" s="14"/>
      <c r="L24" s="14" t="s">
        <v>31</v>
      </c>
      <c r="M24" s="14"/>
      <c r="N24" s="14"/>
      <c r="O24" s="14"/>
    </row>
    <row r="25" spans="1:15" ht="66" x14ac:dyDescent="0.3">
      <c r="A25" s="12" t="s">
        <v>183</v>
      </c>
      <c r="B25" s="13" t="s">
        <v>36</v>
      </c>
      <c r="C25" s="13" t="s">
        <v>184</v>
      </c>
      <c r="D25" s="13" t="s">
        <v>108</v>
      </c>
      <c r="E25" s="13" t="s">
        <v>135</v>
      </c>
      <c r="F25" s="13" t="s">
        <v>68</v>
      </c>
      <c r="G25" s="13" t="s">
        <v>69</v>
      </c>
      <c r="H25" s="13" t="s">
        <v>185</v>
      </c>
      <c r="I25" s="13" t="s">
        <v>186</v>
      </c>
      <c r="J25" s="13" t="s">
        <v>187</v>
      </c>
      <c r="K25" s="14"/>
      <c r="L25" s="14" t="s">
        <v>31</v>
      </c>
      <c r="M25" s="14"/>
      <c r="N25" s="14"/>
      <c r="O25" s="14"/>
    </row>
    <row r="26" spans="1:15" ht="39.6" x14ac:dyDescent="0.3">
      <c r="A26" s="12" t="s">
        <v>188</v>
      </c>
      <c r="B26" s="13" t="s">
        <v>36</v>
      </c>
      <c r="C26" s="13" t="s">
        <v>189</v>
      </c>
      <c r="D26" s="13" t="s">
        <v>108</v>
      </c>
      <c r="E26" s="13" t="s">
        <v>135</v>
      </c>
      <c r="F26" s="13" t="s">
        <v>78</v>
      </c>
      <c r="G26" s="13" t="s">
        <v>69</v>
      </c>
      <c r="H26" s="13" t="s">
        <v>190</v>
      </c>
      <c r="I26" s="13" t="s">
        <v>191</v>
      </c>
      <c r="J26" s="13" t="s">
        <v>192</v>
      </c>
      <c r="K26" s="14"/>
      <c r="L26" s="14" t="s">
        <v>31</v>
      </c>
      <c r="M26" s="14"/>
      <c r="N26" s="14"/>
      <c r="O26" s="14"/>
    </row>
    <row r="27" spans="1:15" ht="26.4" x14ac:dyDescent="0.3">
      <c r="A27" s="12" t="s">
        <v>193</v>
      </c>
      <c r="B27" s="13" t="s">
        <v>36</v>
      </c>
      <c r="C27" s="13" t="s">
        <v>189</v>
      </c>
      <c r="D27" s="13" t="s">
        <v>140</v>
      </c>
      <c r="E27" s="13" t="s">
        <v>179</v>
      </c>
      <c r="F27" s="13" t="s">
        <v>98</v>
      </c>
      <c r="G27" s="13" t="s">
        <v>69</v>
      </c>
      <c r="H27" s="13" t="s">
        <v>194</v>
      </c>
      <c r="I27" s="13" t="s">
        <v>195</v>
      </c>
      <c r="J27" s="13" t="s">
        <v>196</v>
      </c>
      <c r="K27" s="14"/>
      <c r="L27" s="14" t="s">
        <v>31</v>
      </c>
      <c r="M27" s="14"/>
      <c r="N27" s="14"/>
      <c r="O27" s="14"/>
    </row>
    <row r="28" spans="1:15" ht="26.4" x14ac:dyDescent="0.3">
      <c r="A28" s="12" t="s">
        <v>197</v>
      </c>
      <c r="B28" s="13" t="s">
        <v>36</v>
      </c>
      <c r="C28" s="13" t="s">
        <v>189</v>
      </c>
      <c r="D28" s="13" t="s">
        <v>108</v>
      </c>
      <c r="E28" s="13" t="s">
        <v>135</v>
      </c>
      <c r="F28" s="13" t="s">
        <v>68</v>
      </c>
      <c r="G28" s="13" t="s">
        <v>69</v>
      </c>
      <c r="H28" s="13" t="s">
        <v>66</v>
      </c>
      <c r="I28" s="13" t="s">
        <v>198</v>
      </c>
      <c r="J28" s="13" t="s">
        <v>199</v>
      </c>
      <c r="K28" s="14"/>
      <c r="L28" s="14" t="s">
        <v>31</v>
      </c>
      <c r="M28" s="14"/>
      <c r="N28" s="14"/>
      <c r="O28" s="14"/>
    </row>
    <row r="29" spans="1:15" ht="26.4" x14ac:dyDescent="0.3">
      <c r="A29" s="12" t="s">
        <v>200</v>
      </c>
      <c r="B29" s="13" t="s">
        <v>36</v>
      </c>
      <c r="C29" s="13" t="s">
        <v>189</v>
      </c>
      <c r="D29" s="13" t="s">
        <v>108</v>
      </c>
      <c r="E29" s="13" t="s">
        <v>135</v>
      </c>
      <c r="F29" s="13" t="s">
        <v>78</v>
      </c>
      <c r="G29" s="13" t="s">
        <v>69</v>
      </c>
      <c r="H29" s="13" t="s">
        <v>66</v>
      </c>
      <c r="I29" s="13" t="s">
        <v>201</v>
      </c>
      <c r="J29" s="13" t="s">
        <v>202</v>
      </c>
      <c r="K29" s="14"/>
      <c r="L29" s="14" t="s">
        <v>31</v>
      </c>
      <c r="M29" s="14"/>
      <c r="N29" s="14"/>
      <c r="O29" s="14"/>
    </row>
    <row r="30" spans="1:15" ht="39.6" x14ac:dyDescent="0.3">
      <c r="A30" s="12" t="s">
        <v>203</v>
      </c>
      <c r="B30" s="13" t="s">
        <v>36</v>
      </c>
      <c r="C30" s="13" t="s">
        <v>189</v>
      </c>
      <c r="D30" s="13" t="s">
        <v>108</v>
      </c>
      <c r="E30" s="13" t="s">
        <v>97</v>
      </c>
      <c r="F30" s="13" t="s">
        <v>68</v>
      </c>
      <c r="G30" s="13" t="s">
        <v>69</v>
      </c>
      <c r="H30" s="13" t="s">
        <v>66</v>
      </c>
      <c r="I30" s="13" t="s">
        <v>204</v>
      </c>
      <c r="J30" s="13" t="s">
        <v>205</v>
      </c>
      <c r="K30" s="14"/>
      <c r="L30" s="14" t="s">
        <v>31</v>
      </c>
      <c r="M30" s="14"/>
      <c r="N30" s="14"/>
      <c r="O30" s="14"/>
    </row>
    <row r="31" spans="1:15" x14ac:dyDescent="0.3">
      <c r="A31" s="12" t="s">
        <v>206</v>
      </c>
      <c r="B31" s="13" t="s">
        <v>36</v>
      </c>
      <c r="C31" s="13" t="s">
        <v>189</v>
      </c>
      <c r="D31" s="13" t="s">
        <v>108</v>
      </c>
      <c r="E31" s="13" t="s">
        <v>135</v>
      </c>
      <c r="F31" s="13" t="s">
        <v>78</v>
      </c>
      <c r="G31" s="13" t="s">
        <v>69</v>
      </c>
      <c r="H31" s="13" t="s">
        <v>66</v>
      </c>
      <c r="I31" s="13" t="s">
        <v>207</v>
      </c>
      <c r="J31" s="13" t="s">
        <v>208</v>
      </c>
      <c r="K31" s="14"/>
      <c r="L31" s="14" t="s">
        <v>31</v>
      </c>
      <c r="M31" s="14"/>
      <c r="N31" s="14"/>
      <c r="O31" s="14"/>
    </row>
    <row r="32" spans="1:15" ht="26.4" x14ac:dyDescent="0.3">
      <c r="A32" s="12" t="s">
        <v>209</v>
      </c>
      <c r="B32" s="13" t="s">
        <v>36</v>
      </c>
      <c r="C32" s="13" t="s">
        <v>189</v>
      </c>
      <c r="D32" s="13" t="s">
        <v>108</v>
      </c>
      <c r="E32" s="13" t="s">
        <v>97</v>
      </c>
      <c r="F32" s="13" t="s">
        <v>78</v>
      </c>
      <c r="G32" s="13" t="s">
        <v>69</v>
      </c>
      <c r="H32" s="13" t="s">
        <v>210</v>
      </c>
      <c r="I32" s="13" t="s">
        <v>211</v>
      </c>
      <c r="J32" s="13" t="s">
        <v>212</v>
      </c>
      <c r="K32" s="14"/>
      <c r="L32" s="14" t="s">
        <v>31</v>
      </c>
      <c r="M32" s="14"/>
      <c r="N32" s="14"/>
      <c r="O32" s="14"/>
    </row>
    <row r="33" spans="1:15" ht="26.4" x14ac:dyDescent="0.3">
      <c r="A33" s="12" t="s">
        <v>213</v>
      </c>
      <c r="B33" s="13" t="s">
        <v>36</v>
      </c>
      <c r="C33" s="13" t="s">
        <v>189</v>
      </c>
      <c r="D33" s="13" t="s">
        <v>140</v>
      </c>
      <c r="E33" s="13" t="s">
        <v>97</v>
      </c>
      <c r="F33" s="13" t="s">
        <v>78</v>
      </c>
      <c r="G33" s="13" t="s">
        <v>69</v>
      </c>
      <c r="H33" s="13" t="s">
        <v>214</v>
      </c>
      <c r="I33" s="13" t="s">
        <v>215</v>
      </c>
      <c r="J33" s="13" t="s">
        <v>216</v>
      </c>
      <c r="K33" s="14"/>
      <c r="L33" s="14" t="s">
        <v>31</v>
      </c>
      <c r="M33" s="14"/>
      <c r="N33" s="14"/>
      <c r="O33" s="14"/>
    </row>
    <row r="34" spans="1:15" ht="39.6" x14ac:dyDescent="0.3">
      <c r="A34" s="12" t="s">
        <v>217</v>
      </c>
      <c r="B34" s="13" t="s">
        <v>36</v>
      </c>
      <c r="C34" s="13" t="s">
        <v>189</v>
      </c>
      <c r="D34" s="13" t="s">
        <v>108</v>
      </c>
      <c r="E34" s="13" t="s">
        <v>135</v>
      </c>
      <c r="F34" s="13" t="s">
        <v>78</v>
      </c>
      <c r="G34" s="13" t="s">
        <v>69</v>
      </c>
      <c r="H34" s="13" t="s">
        <v>66</v>
      </c>
      <c r="I34" s="13" t="s">
        <v>218</v>
      </c>
      <c r="J34" s="13" t="s">
        <v>219</v>
      </c>
      <c r="K34" s="14"/>
      <c r="L34" s="14" t="s">
        <v>31</v>
      </c>
      <c r="M34" s="14"/>
      <c r="N34" s="14"/>
      <c r="O34" s="14"/>
    </row>
    <row r="35" spans="1:15" ht="26.4" x14ac:dyDescent="0.3">
      <c r="A35" s="12" t="s">
        <v>220</v>
      </c>
      <c r="B35" s="13" t="s">
        <v>36</v>
      </c>
      <c r="C35" s="13" t="s">
        <v>189</v>
      </c>
      <c r="D35" s="13" t="s">
        <v>108</v>
      </c>
      <c r="E35" s="13" t="s">
        <v>179</v>
      </c>
      <c r="F35" s="13" t="s">
        <v>98</v>
      </c>
      <c r="G35" s="13" t="s">
        <v>69</v>
      </c>
      <c r="H35" s="13" t="s">
        <v>221</v>
      </c>
      <c r="I35" s="13" t="s">
        <v>222</v>
      </c>
      <c r="J35" s="13" t="s">
        <v>223</v>
      </c>
      <c r="K35" s="14"/>
      <c r="L35" s="14" t="s">
        <v>31</v>
      </c>
      <c r="M35" s="14"/>
      <c r="N35" s="14"/>
      <c r="O35" s="14"/>
    </row>
    <row r="36" spans="1:15" ht="39.6" x14ac:dyDescent="0.3">
      <c r="A36" s="12" t="s">
        <v>224</v>
      </c>
      <c r="B36" s="13" t="s">
        <v>36</v>
      </c>
      <c r="C36" s="13" t="s">
        <v>225</v>
      </c>
      <c r="D36" s="13" t="s">
        <v>108</v>
      </c>
      <c r="E36" s="13" t="s">
        <v>135</v>
      </c>
      <c r="F36" s="13" t="s">
        <v>68</v>
      </c>
      <c r="G36" s="13" t="s">
        <v>69</v>
      </c>
      <c r="H36" s="13" t="s">
        <v>226</v>
      </c>
      <c r="I36" s="13" t="s">
        <v>227</v>
      </c>
      <c r="J36" s="13" t="s">
        <v>228</v>
      </c>
      <c r="K36" s="14"/>
      <c r="L36" s="14" t="s">
        <v>31</v>
      </c>
      <c r="M36" s="14"/>
      <c r="N36" s="14"/>
      <c r="O36" s="14"/>
    </row>
    <row r="37" spans="1:15" x14ac:dyDescent="0.3">
      <c r="A37" s="12" t="s">
        <v>229</v>
      </c>
      <c r="B37" s="13" t="s">
        <v>36</v>
      </c>
      <c r="C37" s="13" t="s">
        <v>225</v>
      </c>
      <c r="D37" s="13" t="s">
        <v>108</v>
      </c>
      <c r="E37" s="13" t="s">
        <v>97</v>
      </c>
      <c r="F37" s="13" t="s">
        <v>68</v>
      </c>
      <c r="G37" s="13" t="s">
        <v>69</v>
      </c>
      <c r="H37" s="13" t="s">
        <v>66</v>
      </c>
      <c r="I37" s="13" t="s">
        <v>230</v>
      </c>
      <c r="J37" s="13" t="s">
        <v>231</v>
      </c>
      <c r="K37" s="14"/>
      <c r="L37" s="14" t="s">
        <v>31</v>
      </c>
      <c r="M37" s="14"/>
      <c r="N37" s="14"/>
      <c r="O37" s="14"/>
    </row>
    <row r="38" spans="1:15" ht="26.4" x14ac:dyDescent="0.3">
      <c r="A38" s="12" t="s">
        <v>232</v>
      </c>
      <c r="B38" s="13" t="s">
        <v>36</v>
      </c>
      <c r="C38" s="13" t="s">
        <v>225</v>
      </c>
      <c r="D38" s="13" t="s">
        <v>108</v>
      </c>
      <c r="E38" s="13" t="s">
        <v>135</v>
      </c>
      <c r="F38" s="13" t="s">
        <v>68</v>
      </c>
      <c r="G38" s="13" t="s">
        <v>69</v>
      </c>
      <c r="H38" s="13" t="s">
        <v>66</v>
      </c>
      <c r="I38" s="13" t="s">
        <v>233</v>
      </c>
      <c r="J38" s="13" t="s">
        <v>234</v>
      </c>
      <c r="K38" s="14"/>
      <c r="L38" s="14" t="s">
        <v>31</v>
      </c>
      <c r="M38" s="14"/>
      <c r="N38" s="14"/>
      <c r="O38" s="14"/>
    </row>
    <row r="39" spans="1:15" ht="26.4" x14ac:dyDescent="0.3">
      <c r="A39" s="12" t="s">
        <v>235</v>
      </c>
      <c r="B39" s="13" t="s">
        <v>36</v>
      </c>
      <c r="C39" s="13" t="s">
        <v>225</v>
      </c>
      <c r="D39" s="13" t="s">
        <v>108</v>
      </c>
      <c r="E39" s="13" t="s">
        <v>97</v>
      </c>
      <c r="F39" s="13" t="s">
        <v>78</v>
      </c>
      <c r="G39" s="13" t="s">
        <v>69</v>
      </c>
      <c r="H39" s="13" t="s">
        <v>66</v>
      </c>
      <c r="I39" s="13" t="s">
        <v>236</v>
      </c>
      <c r="J39" s="13" t="s">
        <v>237</v>
      </c>
      <c r="K39" s="14"/>
      <c r="L39" s="14" t="s">
        <v>31</v>
      </c>
      <c r="M39" s="14"/>
      <c r="N39" s="14"/>
      <c r="O39" s="14"/>
    </row>
    <row r="40" spans="1:15" ht="39.6" x14ac:dyDescent="0.3">
      <c r="A40" s="12" t="s">
        <v>238</v>
      </c>
      <c r="B40" s="13" t="s">
        <v>36</v>
      </c>
      <c r="C40" s="13" t="s">
        <v>225</v>
      </c>
      <c r="D40" s="13" t="s">
        <v>108</v>
      </c>
      <c r="E40" s="13" t="s">
        <v>179</v>
      </c>
      <c r="F40" s="13" t="s">
        <v>78</v>
      </c>
      <c r="G40" s="13" t="s">
        <v>69</v>
      </c>
      <c r="H40" s="13" t="s">
        <v>66</v>
      </c>
      <c r="I40" s="13" t="s">
        <v>239</v>
      </c>
      <c r="J40" s="13" t="s">
        <v>240</v>
      </c>
      <c r="K40" s="14"/>
      <c r="L40" s="14" t="s">
        <v>31</v>
      </c>
      <c r="M40" s="14"/>
      <c r="N40" s="14"/>
      <c r="O40" s="14"/>
    </row>
    <row r="41" spans="1:15" ht="39.6" x14ac:dyDescent="0.3">
      <c r="A41" s="12" t="s">
        <v>241</v>
      </c>
      <c r="B41" s="13" t="s">
        <v>36</v>
      </c>
      <c r="C41" s="13" t="s">
        <v>225</v>
      </c>
      <c r="D41" s="13" t="s">
        <v>108</v>
      </c>
      <c r="E41" s="13" t="s">
        <v>179</v>
      </c>
      <c r="F41" s="13" t="s">
        <v>78</v>
      </c>
      <c r="G41" s="13" t="s">
        <v>69</v>
      </c>
      <c r="H41" s="13" t="s">
        <v>242</v>
      </c>
      <c r="I41" s="13" t="s">
        <v>243</v>
      </c>
      <c r="J41" s="13" t="s">
        <v>244</v>
      </c>
      <c r="K41" s="14"/>
      <c r="L41" s="14" t="s">
        <v>31</v>
      </c>
      <c r="M41" s="14"/>
      <c r="N41" s="14"/>
      <c r="O41" s="14"/>
    </row>
    <row r="42" spans="1:15" ht="39.6" x14ac:dyDescent="0.3">
      <c r="A42" s="12" t="s">
        <v>245</v>
      </c>
      <c r="B42" s="13" t="s">
        <v>36</v>
      </c>
      <c r="C42" s="13" t="s">
        <v>246</v>
      </c>
      <c r="D42" s="13" t="s">
        <v>108</v>
      </c>
      <c r="E42" s="13" t="s">
        <v>135</v>
      </c>
      <c r="F42" s="13" t="s">
        <v>68</v>
      </c>
      <c r="G42" s="13" t="s">
        <v>69</v>
      </c>
      <c r="H42" s="13" t="s">
        <v>247</v>
      </c>
      <c r="I42" s="13" t="s">
        <v>248</v>
      </c>
      <c r="J42" s="13" t="s">
        <v>249</v>
      </c>
      <c r="K42" s="14"/>
      <c r="L42" s="14" t="s">
        <v>31</v>
      </c>
      <c r="M42" s="14"/>
      <c r="N42" s="14"/>
      <c r="O42" s="14"/>
    </row>
    <row r="43" spans="1:15" x14ac:dyDescent="0.3">
      <c r="A43" s="12" t="s">
        <v>250</v>
      </c>
      <c r="B43" s="13" t="s">
        <v>36</v>
      </c>
      <c r="C43" s="13" t="s">
        <v>246</v>
      </c>
      <c r="D43" s="13" t="s">
        <v>108</v>
      </c>
      <c r="E43" s="13" t="s">
        <v>97</v>
      </c>
      <c r="F43" s="13" t="s">
        <v>78</v>
      </c>
      <c r="G43" s="13" t="s">
        <v>69</v>
      </c>
      <c r="H43" s="13" t="s">
        <v>66</v>
      </c>
      <c r="I43" s="13" t="s">
        <v>251</v>
      </c>
      <c r="J43" s="13" t="s">
        <v>252</v>
      </c>
      <c r="K43" s="14"/>
      <c r="L43" s="14" t="s">
        <v>31</v>
      </c>
      <c r="M43" s="14"/>
      <c r="N43" s="14"/>
      <c r="O43" s="14"/>
    </row>
    <row r="44" spans="1:15" ht="26.4" x14ac:dyDescent="0.3">
      <c r="A44" s="12" t="s">
        <v>253</v>
      </c>
      <c r="B44" s="13" t="s">
        <v>36</v>
      </c>
      <c r="C44" s="13" t="s">
        <v>254</v>
      </c>
      <c r="D44" s="13" t="s">
        <v>108</v>
      </c>
      <c r="E44" s="13" t="s">
        <v>135</v>
      </c>
      <c r="F44" s="13" t="s">
        <v>68</v>
      </c>
      <c r="G44" s="13" t="s">
        <v>69</v>
      </c>
      <c r="H44" s="13" t="s">
        <v>255</v>
      </c>
      <c r="I44" s="13" t="s">
        <v>256</v>
      </c>
      <c r="J44" s="13" t="s">
        <v>257</v>
      </c>
      <c r="K44" s="14"/>
      <c r="L44" s="14" t="s">
        <v>31</v>
      </c>
      <c r="M44" s="14"/>
      <c r="N44" s="14"/>
      <c r="O44" s="14"/>
    </row>
    <row r="45" spans="1:15" x14ac:dyDescent="0.3">
      <c r="A45" s="12" t="s">
        <v>258</v>
      </c>
      <c r="B45" s="13" t="s">
        <v>36</v>
      </c>
      <c r="C45" s="13" t="s">
        <v>254</v>
      </c>
      <c r="D45" s="13" t="s">
        <v>108</v>
      </c>
      <c r="E45" s="13" t="s">
        <v>135</v>
      </c>
      <c r="F45" s="13" t="s">
        <v>68</v>
      </c>
      <c r="G45" s="13" t="s">
        <v>69</v>
      </c>
      <c r="H45" s="13" t="s">
        <v>259</v>
      </c>
      <c r="I45" s="13" t="s">
        <v>260</v>
      </c>
      <c r="J45" s="13" t="s">
        <v>261</v>
      </c>
      <c r="K45" s="14"/>
      <c r="L45" s="14" t="s">
        <v>31</v>
      </c>
      <c r="M45" s="14"/>
      <c r="N45" s="14"/>
      <c r="O45" s="14"/>
    </row>
    <row r="46" spans="1:15" ht="39.6" x14ac:dyDescent="0.3">
      <c r="A46" s="12" t="s">
        <v>262</v>
      </c>
      <c r="B46" s="13" t="s">
        <v>36</v>
      </c>
      <c r="C46" s="13" t="s">
        <v>254</v>
      </c>
      <c r="D46" s="13" t="s">
        <v>108</v>
      </c>
      <c r="E46" s="13" t="s">
        <v>135</v>
      </c>
      <c r="F46" s="13" t="s">
        <v>68</v>
      </c>
      <c r="G46" s="13" t="s">
        <v>69</v>
      </c>
      <c r="H46" s="13" t="s">
        <v>263</v>
      </c>
      <c r="I46" s="13" t="s">
        <v>260</v>
      </c>
      <c r="J46" s="13" t="s">
        <v>264</v>
      </c>
      <c r="K46" s="14"/>
      <c r="L46" s="14" t="s">
        <v>31</v>
      </c>
      <c r="M46" s="14"/>
      <c r="N46" s="14"/>
      <c r="O46" s="14"/>
    </row>
    <row r="47" spans="1:15" ht="39.6" x14ac:dyDescent="0.3">
      <c r="A47" s="12" t="s">
        <v>265</v>
      </c>
      <c r="B47" s="13" t="s">
        <v>36</v>
      </c>
      <c r="C47" s="13" t="s">
        <v>254</v>
      </c>
      <c r="D47" s="13" t="s">
        <v>108</v>
      </c>
      <c r="E47" s="13" t="s">
        <v>179</v>
      </c>
      <c r="F47" s="13" t="s">
        <v>78</v>
      </c>
      <c r="G47" s="13" t="s">
        <v>69</v>
      </c>
      <c r="H47" s="13" t="s">
        <v>266</v>
      </c>
      <c r="I47" s="13" t="s">
        <v>267</v>
      </c>
      <c r="J47" s="13" t="s">
        <v>268</v>
      </c>
      <c r="K47" s="14"/>
      <c r="L47" s="14" t="s">
        <v>31</v>
      </c>
      <c r="M47" s="14"/>
      <c r="N47" s="14"/>
      <c r="O47" s="14"/>
    </row>
    <row r="48" spans="1:15" ht="26.4" x14ac:dyDescent="0.3">
      <c r="A48" s="12" t="s">
        <v>269</v>
      </c>
      <c r="B48" s="13" t="s">
        <v>36</v>
      </c>
      <c r="C48" s="13" t="s">
        <v>254</v>
      </c>
      <c r="D48" s="13" t="s">
        <v>108</v>
      </c>
      <c r="E48" s="13" t="s">
        <v>135</v>
      </c>
      <c r="F48" s="13" t="s">
        <v>68</v>
      </c>
      <c r="G48" s="13" t="s">
        <v>69</v>
      </c>
      <c r="H48" s="13" t="s">
        <v>66</v>
      </c>
      <c r="I48" s="13" t="s">
        <v>270</v>
      </c>
      <c r="J48" s="13" t="s">
        <v>271</v>
      </c>
      <c r="K48" s="14"/>
      <c r="L48" s="14" t="s">
        <v>31</v>
      </c>
      <c r="M48" s="14"/>
      <c r="N48" s="14"/>
      <c r="O48" s="14"/>
    </row>
    <row r="49" spans="1:15" ht="26.4" x14ac:dyDescent="0.3">
      <c r="A49" s="12" t="s">
        <v>272</v>
      </c>
      <c r="B49" s="13" t="s">
        <v>36</v>
      </c>
      <c r="C49" s="13" t="s">
        <v>254</v>
      </c>
      <c r="D49" s="13" t="s">
        <v>108</v>
      </c>
      <c r="E49" s="13" t="s">
        <v>97</v>
      </c>
      <c r="F49" s="13" t="s">
        <v>68</v>
      </c>
      <c r="G49" s="13" t="s">
        <v>69</v>
      </c>
      <c r="H49" s="13" t="s">
        <v>273</v>
      </c>
      <c r="I49" s="13" t="s">
        <v>274</v>
      </c>
      <c r="J49" s="13" t="s">
        <v>275</v>
      </c>
      <c r="K49" s="14"/>
      <c r="L49" s="14" t="s">
        <v>31</v>
      </c>
      <c r="M49" s="14"/>
      <c r="N49" s="14"/>
      <c r="O49" s="14"/>
    </row>
    <row r="50" spans="1:15" ht="26.4" x14ac:dyDescent="0.3">
      <c r="A50" s="12" t="s">
        <v>276</v>
      </c>
      <c r="B50" s="13" t="s">
        <v>36</v>
      </c>
      <c r="C50" s="13" t="s">
        <v>254</v>
      </c>
      <c r="D50" s="13" t="s">
        <v>108</v>
      </c>
      <c r="E50" s="13" t="s">
        <v>97</v>
      </c>
      <c r="F50" s="13" t="s">
        <v>78</v>
      </c>
      <c r="G50" s="13" t="s">
        <v>69</v>
      </c>
      <c r="H50" s="13" t="s">
        <v>277</v>
      </c>
      <c r="I50" s="13" t="s">
        <v>278</v>
      </c>
      <c r="J50" s="13" t="s">
        <v>279</v>
      </c>
      <c r="K50" s="14"/>
      <c r="L50" s="14" t="s">
        <v>31</v>
      </c>
      <c r="M50" s="14"/>
      <c r="N50" s="14"/>
      <c r="O50" s="14"/>
    </row>
    <row r="51" spans="1:15" ht="26.4" x14ac:dyDescent="0.3">
      <c r="A51" s="12" t="s">
        <v>280</v>
      </c>
      <c r="B51" s="13" t="s">
        <v>36</v>
      </c>
      <c r="C51" s="13" t="s">
        <v>254</v>
      </c>
      <c r="D51" s="13" t="s">
        <v>108</v>
      </c>
      <c r="E51" s="13" t="s">
        <v>179</v>
      </c>
      <c r="F51" s="13" t="s">
        <v>78</v>
      </c>
      <c r="G51" s="13" t="s">
        <v>69</v>
      </c>
      <c r="H51" s="13" t="s">
        <v>281</v>
      </c>
      <c r="I51" s="13" t="s">
        <v>282</v>
      </c>
      <c r="J51" s="13" t="s">
        <v>283</v>
      </c>
      <c r="K51" s="14"/>
      <c r="L51" s="14" t="s">
        <v>31</v>
      </c>
      <c r="M51" s="14"/>
      <c r="N51" s="14"/>
      <c r="O51" s="14"/>
    </row>
    <row r="52" spans="1:15" ht="26.4" x14ac:dyDescent="0.3">
      <c r="A52" s="12" t="s">
        <v>284</v>
      </c>
      <c r="B52" s="13" t="s">
        <v>36</v>
      </c>
      <c r="C52" s="13" t="s">
        <v>254</v>
      </c>
      <c r="D52" s="13" t="s">
        <v>108</v>
      </c>
      <c r="E52" s="13" t="s">
        <v>97</v>
      </c>
      <c r="F52" s="13" t="s">
        <v>78</v>
      </c>
      <c r="G52" s="13" t="s">
        <v>69</v>
      </c>
      <c r="H52" s="13" t="s">
        <v>285</v>
      </c>
      <c r="I52" s="13" t="s">
        <v>286</v>
      </c>
      <c r="J52" s="13" t="s">
        <v>287</v>
      </c>
      <c r="K52" s="14"/>
      <c r="L52" s="14" t="s">
        <v>31</v>
      </c>
      <c r="M52" s="14"/>
      <c r="N52" s="14"/>
      <c r="O52" s="14"/>
    </row>
    <row r="53" spans="1:15" x14ac:dyDescent="0.3">
      <c r="A53" s="12" t="s">
        <v>288</v>
      </c>
      <c r="B53" s="13" t="s">
        <v>36</v>
      </c>
      <c r="C53" s="13" t="s">
        <v>254</v>
      </c>
      <c r="D53" s="13" t="s">
        <v>108</v>
      </c>
      <c r="E53" s="13" t="s">
        <v>135</v>
      </c>
      <c r="F53" s="13" t="s">
        <v>98</v>
      </c>
      <c r="G53" s="13" t="s">
        <v>69</v>
      </c>
      <c r="H53" s="13" t="s">
        <v>263</v>
      </c>
      <c r="I53" s="13" t="s">
        <v>289</v>
      </c>
      <c r="J53" s="13" t="s">
        <v>290</v>
      </c>
      <c r="K53" s="14"/>
      <c r="L53" s="14" t="s">
        <v>31</v>
      </c>
      <c r="M53" s="14"/>
      <c r="N53" s="14"/>
      <c r="O53" s="14"/>
    </row>
    <row r="54" spans="1:15" ht="26.4" x14ac:dyDescent="0.3">
      <c r="A54" s="12" t="s">
        <v>291</v>
      </c>
      <c r="B54" s="13" t="s">
        <v>36</v>
      </c>
      <c r="C54" s="13" t="s">
        <v>254</v>
      </c>
      <c r="D54" s="13" t="s">
        <v>108</v>
      </c>
      <c r="E54" s="13" t="s">
        <v>179</v>
      </c>
      <c r="F54" s="13" t="s">
        <v>98</v>
      </c>
      <c r="G54" s="13" t="s">
        <v>69</v>
      </c>
      <c r="H54" s="13" t="s">
        <v>66</v>
      </c>
      <c r="I54" s="13" t="s">
        <v>292</v>
      </c>
      <c r="J54" s="13" t="s">
        <v>293</v>
      </c>
      <c r="K54" s="14"/>
      <c r="L54" s="14" t="s">
        <v>31</v>
      </c>
      <c r="M54" s="14"/>
      <c r="N54" s="14"/>
      <c r="O54" s="14"/>
    </row>
    <row r="55" spans="1:15" ht="26.4" x14ac:dyDescent="0.3">
      <c r="A55" s="12" t="s">
        <v>294</v>
      </c>
      <c r="B55" s="13" t="s">
        <v>36</v>
      </c>
      <c r="C55" s="13" t="s">
        <v>295</v>
      </c>
      <c r="D55" s="13" t="s">
        <v>108</v>
      </c>
      <c r="E55" s="13" t="s">
        <v>135</v>
      </c>
      <c r="F55" s="13" t="s">
        <v>78</v>
      </c>
      <c r="G55" s="13" t="s">
        <v>69</v>
      </c>
      <c r="H55" s="13" t="s">
        <v>296</v>
      </c>
      <c r="I55" s="13" t="s">
        <v>297</v>
      </c>
      <c r="J55" s="13" t="s">
        <v>298</v>
      </c>
      <c r="K55" s="14"/>
      <c r="L55" s="14" t="s">
        <v>31</v>
      </c>
      <c r="M55" s="14"/>
      <c r="N55" s="14"/>
      <c r="O55" s="14"/>
    </row>
    <row r="56" spans="1:15" ht="92.4" x14ac:dyDescent="0.3">
      <c r="A56" s="12" t="s">
        <v>299</v>
      </c>
      <c r="B56" s="13" t="s">
        <v>36</v>
      </c>
      <c r="C56" s="13" t="s">
        <v>300</v>
      </c>
      <c r="D56" s="13" t="s">
        <v>108</v>
      </c>
      <c r="E56" s="13" t="s">
        <v>135</v>
      </c>
      <c r="F56" s="13" t="s">
        <v>68</v>
      </c>
      <c r="G56" s="13" t="s">
        <v>69</v>
      </c>
      <c r="H56" s="13" t="s">
        <v>301</v>
      </c>
      <c r="I56" s="13" t="s">
        <v>302</v>
      </c>
      <c r="J56" s="13" t="s">
        <v>303</v>
      </c>
      <c r="K56" s="14"/>
      <c r="L56" s="14" t="s">
        <v>31</v>
      </c>
      <c r="M56" s="14"/>
      <c r="N56" s="14"/>
      <c r="O56" s="14"/>
    </row>
    <row r="57" spans="1:15" ht="26.4" x14ac:dyDescent="0.3">
      <c r="A57" s="12" t="s">
        <v>304</v>
      </c>
      <c r="B57" s="13" t="s">
        <v>36</v>
      </c>
      <c r="C57" s="13" t="s">
        <v>300</v>
      </c>
      <c r="D57" s="13" t="s">
        <v>108</v>
      </c>
      <c r="E57" s="13" t="s">
        <v>135</v>
      </c>
      <c r="F57" s="13" t="s">
        <v>78</v>
      </c>
      <c r="G57" s="13" t="s">
        <v>69</v>
      </c>
      <c r="H57" s="13" t="s">
        <v>305</v>
      </c>
      <c r="I57" s="13" t="s">
        <v>306</v>
      </c>
      <c r="J57" s="13" t="s">
        <v>307</v>
      </c>
      <c r="K57" s="14"/>
      <c r="L57" s="14" t="s">
        <v>31</v>
      </c>
      <c r="M57" s="14"/>
      <c r="N57" s="14"/>
      <c r="O57" s="14"/>
    </row>
    <row r="58" spans="1:15" ht="39.6" x14ac:dyDescent="0.3">
      <c r="A58" s="12" t="s">
        <v>308</v>
      </c>
      <c r="B58" s="13" t="s">
        <v>36</v>
      </c>
      <c r="C58" s="13" t="s">
        <v>300</v>
      </c>
      <c r="D58" s="13" t="s">
        <v>108</v>
      </c>
      <c r="E58" s="13" t="s">
        <v>135</v>
      </c>
      <c r="F58" s="13" t="s">
        <v>78</v>
      </c>
      <c r="G58" s="13" t="s">
        <v>69</v>
      </c>
      <c r="H58" s="13" t="s">
        <v>309</v>
      </c>
      <c r="I58" s="13" t="s">
        <v>310</v>
      </c>
      <c r="J58" s="13" t="s">
        <v>311</v>
      </c>
      <c r="K58" s="14"/>
      <c r="L58" s="14" t="s">
        <v>31</v>
      </c>
      <c r="M58" s="14"/>
      <c r="N58" s="14"/>
      <c r="O58" s="14"/>
    </row>
    <row r="59" spans="1:15" ht="26.4" x14ac:dyDescent="0.3">
      <c r="A59" s="12" t="s">
        <v>312</v>
      </c>
      <c r="B59" s="13" t="s">
        <v>36</v>
      </c>
      <c r="C59" s="13" t="s">
        <v>313</v>
      </c>
      <c r="D59" s="13" t="s">
        <v>108</v>
      </c>
      <c r="E59" s="13" t="s">
        <v>135</v>
      </c>
      <c r="F59" s="13" t="s">
        <v>68</v>
      </c>
      <c r="G59" s="13" t="s">
        <v>69</v>
      </c>
      <c r="H59" s="13" t="s">
        <v>314</v>
      </c>
      <c r="I59" s="13" t="s">
        <v>315</v>
      </c>
      <c r="J59" s="13" t="s">
        <v>316</v>
      </c>
      <c r="K59" s="14"/>
      <c r="L59" s="14" t="s">
        <v>31</v>
      </c>
      <c r="M59" s="14"/>
      <c r="N59" s="14"/>
      <c r="O59" s="14"/>
    </row>
    <row r="60" spans="1:15" ht="39.6" x14ac:dyDescent="0.3">
      <c r="A60" s="12" t="s">
        <v>317</v>
      </c>
      <c r="B60" s="13" t="s">
        <v>36</v>
      </c>
      <c r="C60" s="13" t="s">
        <v>313</v>
      </c>
      <c r="D60" s="13" t="s">
        <v>108</v>
      </c>
      <c r="E60" s="13" t="s">
        <v>135</v>
      </c>
      <c r="F60" s="13" t="s">
        <v>68</v>
      </c>
      <c r="G60" s="13" t="s">
        <v>69</v>
      </c>
      <c r="H60" s="13" t="s">
        <v>318</v>
      </c>
      <c r="I60" s="13" t="s">
        <v>315</v>
      </c>
      <c r="J60" s="13" t="s">
        <v>319</v>
      </c>
      <c r="K60" s="14"/>
      <c r="L60" s="14" t="s">
        <v>31</v>
      </c>
      <c r="M60" s="14"/>
      <c r="N60" s="14"/>
      <c r="O60" s="14"/>
    </row>
    <row r="61" spans="1:15" ht="52.8" x14ac:dyDescent="0.3">
      <c r="A61" s="12" t="s">
        <v>320</v>
      </c>
      <c r="B61" s="13" t="s">
        <v>36</v>
      </c>
      <c r="C61" s="13" t="s">
        <v>321</v>
      </c>
      <c r="D61" s="13" t="s">
        <v>322</v>
      </c>
      <c r="E61" s="13" t="s">
        <v>135</v>
      </c>
      <c r="F61" s="13" t="s">
        <v>68</v>
      </c>
      <c r="G61" s="13" t="s">
        <v>69</v>
      </c>
      <c r="H61" s="13" t="s">
        <v>323</v>
      </c>
      <c r="I61" s="13" t="s">
        <v>324</v>
      </c>
      <c r="J61" s="13" t="s">
        <v>325</v>
      </c>
      <c r="K61" s="14"/>
      <c r="L61" s="14" t="s">
        <v>31</v>
      </c>
      <c r="M61" s="14"/>
      <c r="N61" s="14"/>
      <c r="O61" s="14"/>
    </row>
    <row r="62" spans="1:15" ht="79.2" x14ac:dyDescent="0.3">
      <c r="A62" s="12" t="s">
        <v>326</v>
      </c>
      <c r="B62" s="13" t="s">
        <v>36</v>
      </c>
      <c r="C62" s="13" t="s">
        <v>327</v>
      </c>
      <c r="D62" s="13" t="s">
        <v>108</v>
      </c>
      <c r="E62" s="13" t="s">
        <v>135</v>
      </c>
      <c r="F62" s="13" t="s">
        <v>68</v>
      </c>
      <c r="G62" s="13" t="s">
        <v>69</v>
      </c>
      <c r="H62" s="13" t="s">
        <v>328</v>
      </c>
      <c r="I62" s="13" t="s">
        <v>329</v>
      </c>
      <c r="J62" s="13" t="s">
        <v>330</v>
      </c>
      <c r="K62" s="14"/>
      <c r="L62" s="14" t="s">
        <v>31</v>
      </c>
      <c r="M62" s="14"/>
      <c r="N62" s="14"/>
      <c r="O62" s="14"/>
    </row>
    <row r="63" spans="1:15" ht="26.4" x14ac:dyDescent="0.3">
      <c r="A63" s="12" t="s">
        <v>331</v>
      </c>
      <c r="B63" s="13" t="s">
        <v>36</v>
      </c>
      <c r="C63" s="13" t="s">
        <v>327</v>
      </c>
      <c r="D63" s="13" t="s">
        <v>108</v>
      </c>
      <c r="E63" s="13" t="s">
        <v>179</v>
      </c>
      <c r="F63" s="13" t="s">
        <v>78</v>
      </c>
      <c r="G63" s="13" t="s">
        <v>69</v>
      </c>
      <c r="H63" s="13" t="s">
        <v>332</v>
      </c>
      <c r="I63" s="13" t="s">
        <v>333</v>
      </c>
      <c r="J63" s="13" t="s">
        <v>334</v>
      </c>
      <c r="K63" s="14"/>
      <c r="L63" s="14" t="s">
        <v>31</v>
      </c>
      <c r="M63" s="14"/>
      <c r="N63" s="14"/>
      <c r="O63" s="14"/>
    </row>
    <row r="64" spans="1:15" x14ac:dyDescent="0.3">
      <c r="A64" s="12" t="s">
        <v>335</v>
      </c>
      <c r="B64" s="13" t="s">
        <v>36</v>
      </c>
      <c r="C64" s="13" t="s">
        <v>336</v>
      </c>
      <c r="D64" s="13" t="s">
        <v>108</v>
      </c>
      <c r="E64" s="13" t="s">
        <v>135</v>
      </c>
      <c r="F64" s="13" t="s">
        <v>78</v>
      </c>
      <c r="G64" s="13" t="s">
        <v>69</v>
      </c>
      <c r="H64" s="13" t="s">
        <v>337</v>
      </c>
      <c r="I64" s="13" t="s">
        <v>338</v>
      </c>
      <c r="J64" s="13" t="s">
        <v>339</v>
      </c>
      <c r="K64" s="14"/>
      <c r="L64" s="14" t="s">
        <v>31</v>
      </c>
      <c r="M64" s="14"/>
      <c r="N64" s="14"/>
      <c r="O64" s="14"/>
    </row>
    <row r="65" spans="1:15" ht="39.6" x14ac:dyDescent="0.3">
      <c r="A65" s="12" t="s">
        <v>340</v>
      </c>
      <c r="B65" s="13" t="s">
        <v>36</v>
      </c>
      <c r="C65" s="13" t="s">
        <v>341</v>
      </c>
      <c r="D65" s="13" t="s">
        <v>108</v>
      </c>
      <c r="E65" s="13" t="s">
        <v>97</v>
      </c>
      <c r="F65" s="13" t="s">
        <v>78</v>
      </c>
      <c r="G65" s="13" t="s">
        <v>69</v>
      </c>
      <c r="H65" s="13" t="s">
        <v>296</v>
      </c>
      <c r="I65" s="13" t="s">
        <v>342</v>
      </c>
      <c r="J65" s="13" t="s">
        <v>343</v>
      </c>
      <c r="K65" s="14"/>
      <c r="L65" s="14" t="s">
        <v>31</v>
      </c>
      <c r="M65" s="14"/>
      <c r="N65" s="14"/>
      <c r="O65" s="14"/>
    </row>
    <row r="66" spans="1:15" ht="52.8" x14ac:dyDescent="0.3">
      <c r="A66" s="12" t="s">
        <v>344</v>
      </c>
      <c r="B66" s="13" t="s">
        <v>36</v>
      </c>
      <c r="C66" s="13" t="s">
        <v>345</v>
      </c>
      <c r="D66" s="13" t="s">
        <v>346</v>
      </c>
      <c r="E66" s="13" t="s">
        <v>135</v>
      </c>
      <c r="F66" s="13" t="s">
        <v>98</v>
      </c>
      <c r="G66" s="13" t="s">
        <v>69</v>
      </c>
      <c r="H66" s="13" t="s">
        <v>347</v>
      </c>
      <c r="I66" s="13" t="s">
        <v>348</v>
      </c>
      <c r="J66" s="13" t="s">
        <v>349</v>
      </c>
      <c r="K66" s="14"/>
      <c r="L66" s="14" t="s">
        <v>31</v>
      </c>
      <c r="M66" s="14"/>
      <c r="N66" s="14"/>
      <c r="O66" s="14"/>
    </row>
    <row r="67" spans="1:15" ht="79.2" x14ac:dyDescent="0.3">
      <c r="A67" s="12" t="s">
        <v>350</v>
      </c>
      <c r="B67" s="13" t="s">
        <v>37</v>
      </c>
      <c r="C67" s="13" t="s">
        <v>351</v>
      </c>
      <c r="D67" s="13" t="s">
        <v>108</v>
      </c>
      <c r="E67" s="13" t="s">
        <v>135</v>
      </c>
      <c r="F67" s="13" t="s">
        <v>68</v>
      </c>
      <c r="G67" s="13" t="s">
        <v>69</v>
      </c>
      <c r="H67" s="13" t="s">
        <v>352</v>
      </c>
      <c r="I67" s="13" t="s">
        <v>353</v>
      </c>
      <c r="J67" s="13" t="s">
        <v>354</v>
      </c>
      <c r="K67" s="14"/>
      <c r="L67" s="14" t="s">
        <v>31</v>
      </c>
      <c r="M67" s="14"/>
      <c r="N67" s="14"/>
      <c r="O67" s="14"/>
    </row>
    <row r="68" spans="1:15" ht="52.8" x14ac:dyDescent="0.3">
      <c r="A68" s="12" t="s">
        <v>355</v>
      </c>
      <c r="B68" s="13" t="s">
        <v>37</v>
      </c>
      <c r="C68" s="13" t="s">
        <v>351</v>
      </c>
      <c r="D68" s="13" t="s">
        <v>108</v>
      </c>
      <c r="E68" s="13" t="s">
        <v>135</v>
      </c>
      <c r="F68" s="13" t="s">
        <v>68</v>
      </c>
      <c r="G68" s="13" t="s">
        <v>69</v>
      </c>
      <c r="H68" s="13" t="s">
        <v>356</v>
      </c>
      <c r="I68" s="13" t="s">
        <v>357</v>
      </c>
      <c r="J68" s="13" t="s">
        <v>358</v>
      </c>
      <c r="K68" s="14"/>
      <c r="L68" s="14" t="s">
        <v>31</v>
      </c>
      <c r="M68" s="14"/>
      <c r="N68" s="14"/>
      <c r="O68" s="14"/>
    </row>
    <row r="69" spans="1:15" ht="26.4" x14ac:dyDescent="0.3">
      <c r="A69" s="12" t="s">
        <v>359</v>
      </c>
      <c r="B69" s="13" t="s">
        <v>37</v>
      </c>
      <c r="C69" s="13" t="s">
        <v>351</v>
      </c>
      <c r="D69" s="13" t="s">
        <v>108</v>
      </c>
      <c r="E69" s="13" t="s">
        <v>135</v>
      </c>
      <c r="F69" s="13" t="s">
        <v>68</v>
      </c>
      <c r="G69" s="13" t="s">
        <v>69</v>
      </c>
      <c r="H69" s="13" t="s">
        <v>356</v>
      </c>
      <c r="I69" s="13" t="s">
        <v>360</v>
      </c>
      <c r="J69" s="13" t="s">
        <v>361</v>
      </c>
      <c r="K69" s="14"/>
      <c r="L69" s="14" t="s">
        <v>31</v>
      </c>
      <c r="M69" s="14"/>
      <c r="N69" s="14"/>
      <c r="O69" s="14"/>
    </row>
    <row r="70" spans="1:15" ht="39.6" x14ac:dyDescent="0.3">
      <c r="A70" s="12" t="s">
        <v>362</v>
      </c>
      <c r="B70" s="13" t="s">
        <v>37</v>
      </c>
      <c r="C70" s="13" t="s">
        <v>363</v>
      </c>
      <c r="D70" s="13" t="s">
        <v>108</v>
      </c>
      <c r="E70" s="13" t="s">
        <v>135</v>
      </c>
      <c r="F70" s="13" t="s">
        <v>68</v>
      </c>
      <c r="G70" s="13" t="s">
        <v>69</v>
      </c>
      <c r="H70" s="13" t="s">
        <v>356</v>
      </c>
      <c r="I70" s="13" t="s">
        <v>364</v>
      </c>
      <c r="J70" s="13" t="s">
        <v>365</v>
      </c>
      <c r="K70" s="14"/>
      <c r="L70" s="14" t="s">
        <v>31</v>
      </c>
      <c r="M70" s="14"/>
      <c r="N70" s="14"/>
      <c r="O70" s="14"/>
    </row>
    <row r="71" spans="1:15" ht="66" x14ac:dyDescent="0.3">
      <c r="A71" s="12" t="s">
        <v>366</v>
      </c>
      <c r="B71" s="13" t="s">
        <v>37</v>
      </c>
      <c r="C71" s="13" t="s">
        <v>367</v>
      </c>
      <c r="D71" s="13" t="s">
        <v>108</v>
      </c>
      <c r="E71" s="13" t="s">
        <v>135</v>
      </c>
      <c r="F71" s="13" t="s">
        <v>68</v>
      </c>
      <c r="G71" s="13" t="s">
        <v>69</v>
      </c>
      <c r="H71" s="13" t="s">
        <v>368</v>
      </c>
      <c r="I71" s="13" t="s">
        <v>369</v>
      </c>
      <c r="J71" s="13" t="s">
        <v>370</v>
      </c>
      <c r="K71" s="14"/>
      <c r="L71" s="14" t="s">
        <v>31</v>
      </c>
      <c r="M71" s="14"/>
      <c r="N71" s="14"/>
      <c r="O71" s="14"/>
    </row>
    <row r="72" spans="1:15" ht="52.8" x14ac:dyDescent="0.3">
      <c r="A72" s="12" t="s">
        <v>371</v>
      </c>
      <c r="B72" s="13" t="s">
        <v>37</v>
      </c>
      <c r="C72" s="13" t="s">
        <v>367</v>
      </c>
      <c r="D72" s="13" t="s">
        <v>108</v>
      </c>
      <c r="E72" s="13" t="s">
        <v>135</v>
      </c>
      <c r="F72" s="13" t="s">
        <v>78</v>
      </c>
      <c r="G72" s="13" t="s">
        <v>69</v>
      </c>
      <c r="H72" s="13" t="s">
        <v>372</v>
      </c>
      <c r="I72" s="13" t="s">
        <v>373</v>
      </c>
      <c r="J72" s="13" t="s">
        <v>374</v>
      </c>
      <c r="K72" s="14"/>
      <c r="L72" s="14" t="s">
        <v>31</v>
      </c>
      <c r="M72" s="14"/>
      <c r="N72" s="14"/>
      <c r="O72" s="14"/>
    </row>
    <row r="73" spans="1:15" ht="26.4" x14ac:dyDescent="0.3">
      <c r="A73" s="12" t="s">
        <v>375</v>
      </c>
      <c r="B73" s="13" t="s">
        <v>37</v>
      </c>
      <c r="C73" s="13" t="s">
        <v>367</v>
      </c>
      <c r="D73" s="13" t="s">
        <v>108</v>
      </c>
      <c r="E73" s="13" t="s">
        <v>135</v>
      </c>
      <c r="F73" s="13" t="s">
        <v>78</v>
      </c>
      <c r="G73" s="13" t="s">
        <v>69</v>
      </c>
      <c r="H73" s="13" t="s">
        <v>356</v>
      </c>
      <c r="I73" s="13" t="s">
        <v>376</v>
      </c>
      <c r="J73" s="13" t="s">
        <v>377</v>
      </c>
      <c r="K73" s="14"/>
      <c r="L73" s="14" t="s">
        <v>31</v>
      </c>
      <c r="M73" s="14"/>
      <c r="N73" s="14"/>
      <c r="O73" s="14"/>
    </row>
    <row r="74" spans="1:15" ht="26.4" x14ac:dyDescent="0.3">
      <c r="A74" s="12" t="s">
        <v>378</v>
      </c>
      <c r="B74" s="13" t="s">
        <v>37</v>
      </c>
      <c r="C74" s="13" t="s">
        <v>379</v>
      </c>
      <c r="D74" s="13" t="s">
        <v>108</v>
      </c>
      <c r="E74" s="13" t="s">
        <v>135</v>
      </c>
      <c r="F74" s="13" t="s">
        <v>78</v>
      </c>
      <c r="G74" s="13" t="s">
        <v>69</v>
      </c>
      <c r="H74" s="13" t="s">
        <v>356</v>
      </c>
      <c r="I74" s="13" t="s">
        <v>380</v>
      </c>
      <c r="J74" s="13" t="s">
        <v>381</v>
      </c>
      <c r="K74" s="14"/>
      <c r="L74" s="14" t="s">
        <v>31</v>
      </c>
      <c r="M74" s="14"/>
      <c r="N74" s="14"/>
      <c r="O74" s="14"/>
    </row>
    <row r="75" spans="1:15" ht="26.4" x14ac:dyDescent="0.3">
      <c r="A75" s="12" t="s">
        <v>382</v>
      </c>
      <c r="B75" s="13" t="s">
        <v>37</v>
      </c>
      <c r="C75" s="13" t="s">
        <v>383</v>
      </c>
      <c r="D75" s="13" t="s">
        <v>384</v>
      </c>
      <c r="E75" s="13" t="s">
        <v>135</v>
      </c>
      <c r="F75" s="13" t="s">
        <v>68</v>
      </c>
      <c r="G75" s="13" t="s">
        <v>69</v>
      </c>
      <c r="H75" s="13" t="s">
        <v>385</v>
      </c>
      <c r="I75" s="13" t="s">
        <v>386</v>
      </c>
      <c r="J75" s="13" t="s">
        <v>387</v>
      </c>
      <c r="K75" s="14"/>
      <c r="L75" s="14" t="s">
        <v>31</v>
      </c>
      <c r="M75" s="14"/>
      <c r="N75" s="14"/>
      <c r="O75" s="14"/>
    </row>
    <row r="76" spans="1:15" ht="26.4" x14ac:dyDescent="0.3">
      <c r="A76" s="12" t="s">
        <v>388</v>
      </c>
      <c r="B76" s="13" t="s">
        <v>37</v>
      </c>
      <c r="C76" s="13" t="s">
        <v>383</v>
      </c>
      <c r="D76" s="13" t="s">
        <v>108</v>
      </c>
      <c r="E76" s="13" t="s">
        <v>179</v>
      </c>
      <c r="F76" s="13" t="s">
        <v>78</v>
      </c>
      <c r="G76" s="13" t="s">
        <v>69</v>
      </c>
      <c r="H76" s="13" t="s">
        <v>389</v>
      </c>
      <c r="I76" s="13" t="s">
        <v>390</v>
      </c>
      <c r="J76" s="13" t="s">
        <v>391</v>
      </c>
      <c r="K76" s="14"/>
      <c r="L76" s="14" t="s">
        <v>31</v>
      </c>
      <c r="M76" s="14"/>
      <c r="N76" s="14"/>
      <c r="O76" s="14"/>
    </row>
    <row r="77" spans="1:15" ht="52.8" x14ac:dyDescent="0.3">
      <c r="A77" s="12" t="s">
        <v>392</v>
      </c>
      <c r="B77" s="13" t="s">
        <v>37</v>
      </c>
      <c r="C77" s="13" t="s">
        <v>393</v>
      </c>
      <c r="D77" s="13" t="s">
        <v>108</v>
      </c>
      <c r="E77" s="13" t="s">
        <v>135</v>
      </c>
      <c r="F77" s="13" t="s">
        <v>68</v>
      </c>
      <c r="G77" s="13" t="s">
        <v>69</v>
      </c>
      <c r="H77" s="13" t="s">
        <v>356</v>
      </c>
      <c r="I77" s="13" t="s">
        <v>394</v>
      </c>
      <c r="J77" s="13" t="s">
        <v>395</v>
      </c>
      <c r="K77" s="14"/>
      <c r="L77" s="14" t="s">
        <v>31</v>
      </c>
      <c r="M77" s="14"/>
      <c r="N77" s="14"/>
      <c r="O77" s="14"/>
    </row>
    <row r="78" spans="1:15" ht="52.8" x14ac:dyDescent="0.3">
      <c r="A78" s="12" t="s">
        <v>396</v>
      </c>
      <c r="B78" s="13" t="s">
        <v>37</v>
      </c>
      <c r="C78" s="13" t="s">
        <v>397</v>
      </c>
      <c r="D78" s="13" t="s">
        <v>108</v>
      </c>
      <c r="E78" s="13" t="s">
        <v>135</v>
      </c>
      <c r="F78" s="13" t="s">
        <v>68</v>
      </c>
      <c r="G78" s="13" t="s">
        <v>69</v>
      </c>
      <c r="H78" s="13" t="s">
        <v>398</v>
      </c>
      <c r="I78" s="13" t="s">
        <v>399</v>
      </c>
      <c r="J78" s="13" t="s">
        <v>400</v>
      </c>
      <c r="K78" s="14"/>
      <c r="L78" s="14" t="s">
        <v>31</v>
      </c>
      <c r="M78" s="14"/>
      <c r="N78" s="14"/>
      <c r="O78" s="14"/>
    </row>
    <row r="79" spans="1:15" ht="26.4" x14ac:dyDescent="0.3">
      <c r="A79" s="12" t="s">
        <v>401</v>
      </c>
      <c r="B79" s="13" t="s">
        <v>37</v>
      </c>
      <c r="C79" s="13" t="s">
        <v>402</v>
      </c>
      <c r="D79" s="13" t="s">
        <v>108</v>
      </c>
      <c r="E79" s="13" t="s">
        <v>179</v>
      </c>
      <c r="F79" s="13" t="s">
        <v>68</v>
      </c>
      <c r="G79" s="13" t="s">
        <v>69</v>
      </c>
      <c r="H79" s="13" t="s">
        <v>403</v>
      </c>
      <c r="I79" s="13" t="s">
        <v>404</v>
      </c>
      <c r="J79" s="13" t="s">
        <v>405</v>
      </c>
      <c r="K79" s="14"/>
      <c r="L79" s="14" t="s">
        <v>31</v>
      </c>
      <c r="M79" s="14"/>
      <c r="N79" s="14"/>
      <c r="O79" s="14"/>
    </row>
    <row r="80" spans="1:15" ht="66" x14ac:dyDescent="0.3">
      <c r="A80" s="12" t="s">
        <v>406</v>
      </c>
      <c r="B80" s="13" t="s">
        <v>37</v>
      </c>
      <c r="C80" s="13" t="s">
        <v>407</v>
      </c>
      <c r="D80" s="13" t="s">
        <v>108</v>
      </c>
      <c r="E80" s="13" t="s">
        <v>135</v>
      </c>
      <c r="F80" s="13" t="s">
        <v>78</v>
      </c>
      <c r="G80" s="13" t="s">
        <v>69</v>
      </c>
      <c r="H80" s="13" t="s">
        <v>408</v>
      </c>
      <c r="I80" s="13" t="s">
        <v>409</v>
      </c>
      <c r="J80" s="13" t="s">
        <v>410</v>
      </c>
      <c r="K80" s="14"/>
      <c r="L80" s="14" t="s">
        <v>31</v>
      </c>
      <c r="M80" s="14"/>
      <c r="N80" s="14"/>
      <c r="O80" s="14"/>
    </row>
    <row r="81" spans="1:15" ht="39.6" x14ac:dyDescent="0.3">
      <c r="A81" s="12" t="s">
        <v>411</v>
      </c>
      <c r="B81" s="13" t="s">
        <v>37</v>
      </c>
      <c r="C81" s="13" t="s">
        <v>412</v>
      </c>
      <c r="D81" s="13" t="s">
        <v>108</v>
      </c>
      <c r="E81" s="13" t="s">
        <v>179</v>
      </c>
      <c r="F81" s="13" t="s">
        <v>98</v>
      </c>
      <c r="G81" s="13" t="s">
        <v>69</v>
      </c>
      <c r="H81" s="13" t="s">
        <v>413</v>
      </c>
      <c r="I81" s="13" t="s">
        <v>414</v>
      </c>
      <c r="J81" s="13" t="s">
        <v>415</v>
      </c>
      <c r="K81" s="14"/>
      <c r="L81" s="14" t="s">
        <v>31</v>
      </c>
      <c r="M81" s="14"/>
      <c r="N81" s="14"/>
      <c r="O81" s="14"/>
    </row>
    <row r="82" spans="1:15" ht="52.8" x14ac:dyDescent="0.3">
      <c r="A82" s="12" t="s">
        <v>416</v>
      </c>
      <c r="B82" s="13" t="s">
        <v>37</v>
      </c>
      <c r="C82" s="13" t="s">
        <v>417</v>
      </c>
      <c r="D82" s="13" t="s">
        <v>108</v>
      </c>
      <c r="E82" s="13" t="s">
        <v>179</v>
      </c>
      <c r="F82" s="13" t="s">
        <v>78</v>
      </c>
      <c r="G82" s="13" t="s">
        <v>69</v>
      </c>
      <c r="H82" s="13" t="s">
        <v>418</v>
      </c>
      <c r="I82" s="13" t="s">
        <v>419</v>
      </c>
      <c r="J82" s="13" t="s">
        <v>420</v>
      </c>
      <c r="K82" s="14"/>
      <c r="L82" s="14" t="s">
        <v>31</v>
      </c>
      <c r="M82" s="14"/>
      <c r="N82" s="14"/>
      <c r="O82" s="14"/>
    </row>
    <row r="83" spans="1:15" ht="26.4" x14ac:dyDescent="0.3">
      <c r="A83" s="12" t="s">
        <v>421</v>
      </c>
      <c r="B83" s="13" t="s">
        <v>37</v>
      </c>
      <c r="C83" s="13" t="s">
        <v>422</v>
      </c>
      <c r="D83" s="13" t="s">
        <v>108</v>
      </c>
      <c r="E83" s="13" t="s">
        <v>179</v>
      </c>
      <c r="F83" s="13" t="s">
        <v>78</v>
      </c>
      <c r="G83" s="13" t="s">
        <v>69</v>
      </c>
      <c r="H83" s="13" t="s">
        <v>423</v>
      </c>
      <c r="I83" s="13" t="s">
        <v>414</v>
      </c>
      <c r="J83" s="13" t="s">
        <v>424</v>
      </c>
      <c r="K83" s="14"/>
      <c r="L83" s="14" t="s">
        <v>31</v>
      </c>
      <c r="M83" s="14"/>
      <c r="N83" s="14"/>
      <c r="O83" s="14"/>
    </row>
    <row r="84" spans="1:15" ht="26.4" x14ac:dyDescent="0.3">
      <c r="A84" s="12" t="s">
        <v>425</v>
      </c>
      <c r="B84" s="13" t="s">
        <v>37</v>
      </c>
      <c r="C84" s="13" t="s">
        <v>426</v>
      </c>
      <c r="D84" s="13" t="s">
        <v>108</v>
      </c>
      <c r="E84" s="13" t="s">
        <v>135</v>
      </c>
      <c r="F84" s="13" t="s">
        <v>78</v>
      </c>
      <c r="G84" s="13" t="s">
        <v>69</v>
      </c>
      <c r="H84" s="13" t="s">
        <v>427</v>
      </c>
      <c r="I84" s="13" t="s">
        <v>419</v>
      </c>
      <c r="J84" s="13" t="s">
        <v>428</v>
      </c>
      <c r="K84" s="14"/>
      <c r="L84" s="14" t="s">
        <v>31</v>
      </c>
      <c r="M84" s="14"/>
      <c r="N84" s="14"/>
      <c r="O84" s="14"/>
    </row>
    <row r="85" spans="1:15" ht="26.4" x14ac:dyDescent="0.3">
      <c r="A85" s="12" t="s">
        <v>429</v>
      </c>
      <c r="B85" s="13" t="s">
        <v>37</v>
      </c>
      <c r="C85" s="13" t="s">
        <v>430</v>
      </c>
      <c r="D85" s="13" t="s">
        <v>108</v>
      </c>
      <c r="E85" s="13" t="s">
        <v>179</v>
      </c>
      <c r="F85" s="13" t="s">
        <v>78</v>
      </c>
      <c r="G85" s="13" t="s">
        <v>69</v>
      </c>
      <c r="H85" s="13" t="s">
        <v>431</v>
      </c>
      <c r="I85" s="13" t="s">
        <v>432</v>
      </c>
      <c r="J85" s="13" t="s">
        <v>433</v>
      </c>
      <c r="K85" s="14"/>
      <c r="L85" s="14" t="s">
        <v>31</v>
      </c>
      <c r="M85" s="14"/>
      <c r="N85" s="14"/>
      <c r="O85" s="14"/>
    </row>
    <row r="86" spans="1:15" ht="39.6" x14ac:dyDescent="0.3">
      <c r="A86" s="12" t="s">
        <v>434</v>
      </c>
      <c r="B86" s="13" t="s">
        <v>37</v>
      </c>
      <c r="C86" s="13" t="s">
        <v>435</v>
      </c>
      <c r="D86" s="13" t="s">
        <v>108</v>
      </c>
      <c r="E86" s="13" t="s">
        <v>67</v>
      </c>
      <c r="F86" s="13" t="s">
        <v>78</v>
      </c>
      <c r="G86" s="13" t="s">
        <v>69</v>
      </c>
      <c r="H86" s="13" t="s">
        <v>436</v>
      </c>
      <c r="I86" s="13" t="s">
        <v>437</v>
      </c>
      <c r="J86" s="13" t="s">
        <v>438</v>
      </c>
      <c r="K86" s="14"/>
      <c r="L86" s="14" t="s">
        <v>31</v>
      </c>
      <c r="M86" s="14"/>
      <c r="N86" s="14"/>
      <c r="O86" s="14"/>
    </row>
    <row r="87" spans="1:15" ht="79.2" x14ac:dyDescent="0.3">
      <c r="A87" s="12" t="s">
        <v>439</v>
      </c>
      <c r="B87" s="13" t="s">
        <v>38</v>
      </c>
      <c r="C87" s="13" t="s">
        <v>184</v>
      </c>
      <c r="D87" s="13" t="s">
        <v>108</v>
      </c>
      <c r="E87" s="13" t="s">
        <v>135</v>
      </c>
      <c r="F87" s="13" t="s">
        <v>68</v>
      </c>
      <c r="G87" s="13" t="s">
        <v>69</v>
      </c>
      <c r="H87" s="13" t="s">
        <v>440</v>
      </c>
      <c r="I87" s="13" t="s">
        <v>441</v>
      </c>
      <c r="J87" s="13" t="s">
        <v>442</v>
      </c>
      <c r="K87" s="14"/>
      <c r="L87" s="14" t="s">
        <v>31</v>
      </c>
      <c r="M87" s="14"/>
      <c r="N87" s="14"/>
      <c r="O87" s="14"/>
    </row>
    <row r="88" spans="1:15" ht="26.4" x14ac:dyDescent="0.3">
      <c r="A88" s="12" t="s">
        <v>443</v>
      </c>
      <c r="B88" s="13" t="s">
        <v>38</v>
      </c>
      <c r="C88" s="13" t="s">
        <v>184</v>
      </c>
      <c r="D88" s="13" t="s">
        <v>140</v>
      </c>
      <c r="E88" s="13" t="s">
        <v>135</v>
      </c>
      <c r="F88" s="13" t="s">
        <v>78</v>
      </c>
      <c r="G88" s="13" t="s">
        <v>69</v>
      </c>
      <c r="H88" s="13" t="s">
        <v>444</v>
      </c>
      <c r="I88" s="13" t="s">
        <v>445</v>
      </c>
      <c r="J88" s="13" t="s">
        <v>446</v>
      </c>
      <c r="K88" s="14"/>
      <c r="L88" s="14" t="s">
        <v>31</v>
      </c>
      <c r="M88" s="14"/>
      <c r="N88" s="14"/>
      <c r="O88" s="14"/>
    </row>
    <row r="89" spans="1:15" ht="39.6" x14ac:dyDescent="0.3">
      <c r="A89" s="12" t="s">
        <v>447</v>
      </c>
      <c r="B89" s="13" t="s">
        <v>38</v>
      </c>
      <c r="C89" s="13" t="s">
        <v>448</v>
      </c>
      <c r="D89" s="13" t="s">
        <v>108</v>
      </c>
      <c r="E89" s="13" t="s">
        <v>135</v>
      </c>
      <c r="F89" s="13" t="s">
        <v>78</v>
      </c>
      <c r="G89" s="13" t="s">
        <v>69</v>
      </c>
      <c r="H89" s="13" t="s">
        <v>440</v>
      </c>
      <c r="I89" s="13" t="s">
        <v>449</v>
      </c>
      <c r="J89" s="13" t="s">
        <v>450</v>
      </c>
      <c r="K89" s="14"/>
      <c r="L89" s="14" t="s">
        <v>31</v>
      </c>
      <c r="M89" s="14"/>
      <c r="N89" s="14"/>
      <c r="O89" s="14"/>
    </row>
    <row r="90" spans="1:15" ht="52.8" x14ac:dyDescent="0.3">
      <c r="A90" s="12" t="s">
        <v>451</v>
      </c>
      <c r="B90" s="13" t="s">
        <v>38</v>
      </c>
      <c r="C90" s="13" t="s">
        <v>448</v>
      </c>
      <c r="D90" s="13" t="s">
        <v>108</v>
      </c>
      <c r="E90" s="13" t="s">
        <v>135</v>
      </c>
      <c r="F90" s="13" t="s">
        <v>78</v>
      </c>
      <c r="G90" s="13" t="s">
        <v>69</v>
      </c>
      <c r="H90" s="13" t="s">
        <v>66</v>
      </c>
      <c r="I90" s="13" t="s">
        <v>452</v>
      </c>
      <c r="J90" s="13" t="s">
        <v>453</v>
      </c>
      <c r="K90" s="14"/>
      <c r="L90" s="14" t="s">
        <v>31</v>
      </c>
      <c r="M90" s="14"/>
      <c r="N90" s="14"/>
      <c r="O90" s="14"/>
    </row>
    <row r="91" spans="1:15" x14ac:dyDescent="0.3">
      <c r="A91" s="12" t="s">
        <v>454</v>
      </c>
      <c r="B91" s="13" t="s">
        <v>38</v>
      </c>
      <c r="C91" s="13" t="s">
        <v>448</v>
      </c>
      <c r="D91" s="13" t="s">
        <v>108</v>
      </c>
      <c r="E91" s="13" t="s">
        <v>135</v>
      </c>
      <c r="F91" s="13" t="s">
        <v>98</v>
      </c>
      <c r="G91" s="13" t="s">
        <v>69</v>
      </c>
      <c r="H91" s="13" t="s">
        <v>66</v>
      </c>
      <c r="I91" s="13" t="s">
        <v>455</v>
      </c>
      <c r="J91" s="13" t="s">
        <v>456</v>
      </c>
      <c r="K91" s="14"/>
      <c r="L91" s="14" t="s">
        <v>31</v>
      </c>
      <c r="M91" s="14"/>
      <c r="N91" s="14"/>
      <c r="O91" s="14"/>
    </row>
    <row r="92" spans="1:15" ht="92.4" x14ac:dyDescent="0.3">
      <c r="A92" s="12" t="s">
        <v>457</v>
      </c>
      <c r="B92" s="13" t="s">
        <v>38</v>
      </c>
      <c r="C92" s="13" t="s">
        <v>458</v>
      </c>
      <c r="D92" s="13" t="s">
        <v>108</v>
      </c>
      <c r="E92" s="13" t="s">
        <v>135</v>
      </c>
      <c r="F92" s="13" t="s">
        <v>68</v>
      </c>
      <c r="G92" s="13" t="s">
        <v>69</v>
      </c>
      <c r="H92" s="13" t="s">
        <v>66</v>
      </c>
      <c r="I92" s="13" t="s">
        <v>459</v>
      </c>
      <c r="J92" s="13" t="s">
        <v>460</v>
      </c>
      <c r="K92" s="14"/>
      <c r="L92" s="14" t="s">
        <v>31</v>
      </c>
      <c r="M92" s="14"/>
      <c r="N92" s="14"/>
      <c r="O92" s="14"/>
    </row>
    <row r="93" spans="1:15" ht="26.4" x14ac:dyDescent="0.3">
      <c r="A93" s="12" t="s">
        <v>461</v>
      </c>
      <c r="B93" s="13" t="s">
        <v>38</v>
      </c>
      <c r="C93" s="13" t="s">
        <v>458</v>
      </c>
      <c r="D93" s="13" t="s">
        <v>108</v>
      </c>
      <c r="E93" s="13" t="s">
        <v>135</v>
      </c>
      <c r="F93" s="13" t="s">
        <v>78</v>
      </c>
      <c r="G93" s="13" t="s">
        <v>69</v>
      </c>
      <c r="H93" s="13" t="s">
        <v>66</v>
      </c>
      <c r="I93" s="13" t="s">
        <v>462</v>
      </c>
      <c r="J93" s="13" t="s">
        <v>463</v>
      </c>
      <c r="K93" s="14"/>
      <c r="L93" s="14" t="s">
        <v>31</v>
      </c>
      <c r="M93" s="14"/>
      <c r="N93" s="14"/>
      <c r="O93" s="14"/>
    </row>
    <row r="94" spans="1:15" ht="26.4" x14ac:dyDescent="0.3">
      <c r="A94" s="12" t="s">
        <v>464</v>
      </c>
      <c r="B94" s="13" t="s">
        <v>38</v>
      </c>
      <c r="C94" s="13" t="s">
        <v>458</v>
      </c>
      <c r="D94" s="13" t="s">
        <v>108</v>
      </c>
      <c r="E94" s="13" t="s">
        <v>135</v>
      </c>
      <c r="F94" s="13" t="s">
        <v>78</v>
      </c>
      <c r="G94" s="13" t="s">
        <v>69</v>
      </c>
      <c r="H94" s="13" t="s">
        <v>66</v>
      </c>
      <c r="I94" s="13" t="s">
        <v>465</v>
      </c>
      <c r="J94" s="13" t="s">
        <v>466</v>
      </c>
      <c r="K94" s="14"/>
      <c r="L94" s="14" t="s">
        <v>31</v>
      </c>
      <c r="M94" s="14"/>
      <c r="N94" s="14"/>
      <c r="O94" s="14"/>
    </row>
    <row r="95" spans="1:15" ht="26.4" x14ac:dyDescent="0.3">
      <c r="A95" s="12" t="s">
        <v>467</v>
      </c>
      <c r="B95" s="13" t="s">
        <v>38</v>
      </c>
      <c r="C95" s="13" t="s">
        <v>458</v>
      </c>
      <c r="D95" s="13" t="s">
        <v>108</v>
      </c>
      <c r="E95" s="13" t="s">
        <v>135</v>
      </c>
      <c r="F95" s="13" t="s">
        <v>78</v>
      </c>
      <c r="G95" s="13" t="s">
        <v>69</v>
      </c>
      <c r="H95" s="13" t="s">
        <v>66</v>
      </c>
      <c r="I95" s="13" t="s">
        <v>468</v>
      </c>
      <c r="J95" s="13" t="s">
        <v>469</v>
      </c>
      <c r="K95" s="14"/>
      <c r="L95" s="14" t="s">
        <v>31</v>
      </c>
      <c r="M95" s="14"/>
      <c r="N95" s="14"/>
      <c r="O95" s="14"/>
    </row>
    <row r="96" spans="1:15" x14ac:dyDescent="0.3">
      <c r="A96" s="12" t="s">
        <v>470</v>
      </c>
      <c r="B96" s="13" t="s">
        <v>38</v>
      </c>
      <c r="C96" s="13" t="s">
        <v>458</v>
      </c>
      <c r="D96" s="13" t="s">
        <v>108</v>
      </c>
      <c r="E96" s="13" t="s">
        <v>135</v>
      </c>
      <c r="F96" s="13" t="s">
        <v>78</v>
      </c>
      <c r="G96" s="13" t="s">
        <v>69</v>
      </c>
      <c r="H96" s="13" t="s">
        <v>66</v>
      </c>
      <c r="I96" s="13" t="s">
        <v>471</v>
      </c>
      <c r="J96" s="13" t="s">
        <v>472</v>
      </c>
      <c r="K96" s="14"/>
      <c r="L96" s="14" t="s">
        <v>31</v>
      </c>
      <c r="M96" s="14"/>
      <c r="N96" s="14"/>
      <c r="O96" s="14"/>
    </row>
    <row r="97" spans="1:15" ht="26.4" x14ac:dyDescent="0.3">
      <c r="A97" s="12" t="s">
        <v>473</v>
      </c>
      <c r="B97" s="13" t="s">
        <v>38</v>
      </c>
      <c r="C97" s="13" t="s">
        <v>474</v>
      </c>
      <c r="D97" s="13" t="s">
        <v>108</v>
      </c>
      <c r="E97" s="13" t="s">
        <v>135</v>
      </c>
      <c r="F97" s="13" t="s">
        <v>68</v>
      </c>
      <c r="G97" s="13" t="s">
        <v>69</v>
      </c>
      <c r="H97" s="13" t="s">
        <v>475</v>
      </c>
      <c r="I97" s="13" t="s">
        <v>476</v>
      </c>
      <c r="J97" s="13" t="s">
        <v>477</v>
      </c>
      <c r="K97" s="14"/>
      <c r="L97" s="14" t="s">
        <v>31</v>
      </c>
      <c r="M97" s="14"/>
      <c r="N97" s="14"/>
      <c r="O97" s="14"/>
    </row>
    <row r="98" spans="1:15" ht="39.6" x14ac:dyDescent="0.3">
      <c r="A98" s="12" t="s">
        <v>478</v>
      </c>
      <c r="B98" s="13" t="s">
        <v>38</v>
      </c>
      <c r="C98" s="13" t="s">
        <v>479</v>
      </c>
      <c r="D98" s="13" t="s">
        <v>108</v>
      </c>
      <c r="E98" s="13" t="s">
        <v>135</v>
      </c>
      <c r="F98" s="13" t="s">
        <v>68</v>
      </c>
      <c r="G98" s="13" t="s">
        <v>69</v>
      </c>
      <c r="H98" s="13" t="s">
        <v>480</v>
      </c>
      <c r="I98" s="13" t="s">
        <v>481</v>
      </c>
      <c r="J98" s="13" t="s">
        <v>482</v>
      </c>
      <c r="K98" s="14"/>
      <c r="L98" s="14" t="s">
        <v>31</v>
      </c>
      <c r="M98" s="14"/>
      <c r="N98" s="14"/>
      <c r="O98" s="14"/>
    </row>
    <row r="99" spans="1:15" ht="52.8" x14ac:dyDescent="0.3">
      <c r="A99" s="12" t="s">
        <v>483</v>
      </c>
      <c r="B99" s="13" t="s">
        <v>38</v>
      </c>
      <c r="C99" s="13" t="s">
        <v>479</v>
      </c>
      <c r="D99" s="13" t="s">
        <v>108</v>
      </c>
      <c r="E99" s="13" t="s">
        <v>135</v>
      </c>
      <c r="F99" s="13" t="s">
        <v>68</v>
      </c>
      <c r="G99" s="13" t="s">
        <v>69</v>
      </c>
      <c r="H99" s="13" t="s">
        <v>484</v>
      </c>
      <c r="I99" s="13" t="s">
        <v>485</v>
      </c>
      <c r="J99" s="13" t="s">
        <v>486</v>
      </c>
      <c r="K99" s="14"/>
      <c r="L99" s="14" t="s">
        <v>31</v>
      </c>
      <c r="M99" s="14"/>
      <c r="N99" s="14"/>
      <c r="O99" s="14"/>
    </row>
    <row r="100" spans="1:15" x14ac:dyDescent="0.3">
      <c r="A100" s="12" t="s">
        <v>487</v>
      </c>
      <c r="B100" s="13" t="s">
        <v>38</v>
      </c>
      <c r="C100" s="13" t="s">
        <v>479</v>
      </c>
      <c r="D100" s="13" t="s">
        <v>108</v>
      </c>
      <c r="E100" s="13" t="s">
        <v>97</v>
      </c>
      <c r="F100" s="13" t="s">
        <v>78</v>
      </c>
      <c r="G100" s="13" t="s">
        <v>69</v>
      </c>
      <c r="H100" s="13" t="s">
        <v>488</v>
      </c>
      <c r="I100" s="13" t="s">
        <v>489</v>
      </c>
      <c r="J100" s="13" t="s">
        <v>490</v>
      </c>
      <c r="K100" s="14"/>
      <c r="L100" s="14" t="s">
        <v>31</v>
      </c>
      <c r="M100" s="14"/>
      <c r="N100" s="14"/>
      <c r="O100" s="14"/>
    </row>
    <row r="101" spans="1:15" x14ac:dyDescent="0.3">
      <c r="A101" s="12" t="s">
        <v>491</v>
      </c>
      <c r="B101" s="13" t="s">
        <v>38</v>
      </c>
      <c r="C101" s="13" t="s">
        <v>479</v>
      </c>
      <c r="D101" s="13" t="s">
        <v>108</v>
      </c>
      <c r="E101" s="13" t="s">
        <v>135</v>
      </c>
      <c r="F101" s="13" t="s">
        <v>98</v>
      </c>
      <c r="G101" s="13" t="s">
        <v>69</v>
      </c>
      <c r="H101" s="13" t="s">
        <v>488</v>
      </c>
      <c r="I101" s="13" t="s">
        <v>492</v>
      </c>
      <c r="J101" s="13" t="s">
        <v>493</v>
      </c>
      <c r="K101" s="14"/>
      <c r="L101" s="14" t="s">
        <v>31</v>
      </c>
      <c r="M101" s="14"/>
      <c r="N101" s="14"/>
      <c r="O101" s="14"/>
    </row>
    <row r="102" spans="1:15" ht="118.8" x14ac:dyDescent="0.3">
      <c r="A102" s="12" t="s">
        <v>494</v>
      </c>
      <c r="B102" s="13" t="s">
        <v>38</v>
      </c>
      <c r="C102" s="13" t="s">
        <v>495</v>
      </c>
      <c r="D102" s="13" t="s">
        <v>108</v>
      </c>
      <c r="E102" s="13" t="s">
        <v>135</v>
      </c>
      <c r="F102" s="13" t="s">
        <v>68</v>
      </c>
      <c r="G102" s="13" t="s">
        <v>69</v>
      </c>
      <c r="H102" s="13" t="s">
        <v>496</v>
      </c>
      <c r="I102" s="13" t="s">
        <v>497</v>
      </c>
      <c r="J102" s="13" t="s">
        <v>498</v>
      </c>
      <c r="K102" s="14"/>
      <c r="L102" s="14" t="s">
        <v>31</v>
      </c>
      <c r="M102" s="14"/>
      <c r="N102" s="14"/>
      <c r="O102" s="14"/>
    </row>
    <row r="103" spans="1:15" ht="39.6" x14ac:dyDescent="0.3">
      <c r="A103" s="12" t="s">
        <v>499</v>
      </c>
      <c r="B103" s="13" t="s">
        <v>38</v>
      </c>
      <c r="C103" s="13" t="s">
        <v>500</v>
      </c>
      <c r="D103" s="13" t="s">
        <v>108</v>
      </c>
      <c r="E103" s="13" t="s">
        <v>179</v>
      </c>
      <c r="F103" s="13" t="s">
        <v>68</v>
      </c>
      <c r="G103" s="13" t="s">
        <v>69</v>
      </c>
      <c r="H103" s="13" t="s">
        <v>501</v>
      </c>
      <c r="I103" s="13" t="s">
        <v>502</v>
      </c>
      <c r="J103" s="13" t="s">
        <v>503</v>
      </c>
      <c r="K103" s="14"/>
      <c r="L103" s="14" t="s">
        <v>31</v>
      </c>
      <c r="M103" s="14"/>
      <c r="N103" s="14"/>
      <c r="O103" s="14"/>
    </row>
    <row r="104" spans="1:15" ht="26.4" x14ac:dyDescent="0.3">
      <c r="A104" s="12" t="s">
        <v>504</v>
      </c>
      <c r="B104" s="13" t="s">
        <v>38</v>
      </c>
      <c r="C104" s="13" t="s">
        <v>505</v>
      </c>
      <c r="D104" s="13" t="s">
        <v>108</v>
      </c>
      <c r="E104" s="13" t="s">
        <v>135</v>
      </c>
      <c r="F104" s="13" t="s">
        <v>78</v>
      </c>
      <c r="G104" s="13" t="s">
        <v>69</v>
      </c>
      <c r="H104" s="13" t="s">
        <v>66</v>
      </c>
      <c r="I104" s="13" t="s">
        <v>506</v>
      </c>
      <c r="J104" s="13" t="s">
        <v>507</v>
      </c>
      <c r="K104" s="14"/>
      <c r="L104" s="14" t="s">
        <v>31</v>
      </c>
      <c r="M104" s="14"/>
      <c r="N104" s="14"/>
      <c r="O104" s="14"/>
    </row>
    <row r="105" spans="1:15" ht="26.4" x14ac:dyDescent="0.3">
      <c r="A105" s="12" t="s">
        <v>508</v>
      </c>
      <c r="B105" s="13" t="s">
        <v>38</v>
      </c>
      <c r="C105" s="13" t="s">
        <v>509</v>
      </c>
      <c r="D105" s="13" t="s">
        <v>322</v>
      </c>
      <c r="E105" s="13" t="s">
        <v>135</v>
      </c>
      <c r="F105" s="13" t="s">
        <v>78</v>
      </c>
      <c r="G105" s="13" t="s">
        <v>69</v>
      </c>
      <c r="H105" s="13" t="s">
        <v>510</v>
      </c>
      <c r="I105" s="13" t="s">
        <v>511</v>
      </c>
      <c r="J105" s="13" t="s">
        <v>512</v>
      </c>
      <c r="K105" s="14"/>
      <c r="L105" s="14" t="s">
        <v>31</v>
      </c>
      <c r="M105" s="14"/>
      <c r="N105" s="14"/>
      <c r="O105" s="14"/>
    </row>
    <row r="106" spans="1:15" ht="26.4" x14ac:dyDescent="0.3">
      <c r="A106" s="12" t="s">
        <v>513</v>
      </c>
      <c r="B106" s="13" t="s">
        <v>38</v>
      </c>
      <c r="C106" s="13" t="s">
        <v>514</v>
      </c>
      <c r="D106" s="13" t="s">
        <v>108</v>
      </c>
      <c r="E106" s="13" t="s">
        <v>135</v>
      </c>
      <c r="F106" s="13" t="s">
        <v>98</v>
      </c>
      <c r="G106" s="13" t="s">
        <v>69</v>
      </c>
      <c r="H106" s="13" t="s">
        <v>66</v>
      </c>
      <c r="I106" s="13" t="s">
        <v>515</v>
      </c>
      <c r="J106" s="13" t="s">
        <v>516</v>
      </c>
      <c r="K106" s="14"/>
      <c r="L106" s="14" t="s">
        <v>31</v>
      </c>
      <c r="M106" s="14"/>
      <c r="N106" s="14"/>
      <c r="O106" s="14"/>
    </row>
    <row r="107" spans="1:15" ht="26.4" x14ac:dyDescent="0.3">
      <c r="A107" s="12" t="s">
        <v>517</v>
      </c>
      <c r="B107" s="13" t="s">
        <v>38</v>
      </c>
      <c r="C107" s="13" t="s">
        <v>518</v>
      </c>
      <c r="D107" s="13" t="s">
        <v>108</v>
      </c>
      <c r="E107" s="13" t="s">
        <v>135</v>
      </c>
      <c r="F107" s="13" t="s">
        <v>78</v>
      </c>
      <c r="G107" s="13" t="s">
        <v>69</v>
      </c>
      <c r="H107" s="13" t="s">
        <v>519</v>
      </c>
      <c r="I107" s="13" t="s">
        <v>520</v>
      </c>
      <c r="J107" s="13" t="s">
        <v>521</v>
      </c>
      <c r="K107" s="14"/>
      <c r="L107" s="14" t="s">
        <v>31</v>
      </c>
      <c r="M107" s="14"/>
      <c r="N107" s="14"/>
      <c r="O107" s="14"/>
    </row>
    <row r="108" spans="1:15" ht="26.4" x14ac:dyDescent="0.3">
      <c r="A108" s="12" t="s">
        <v>522</v>
      </c>
      <c r="B108" s="13" t="s">
        <v>38</v>
      </c>
      <c r="C108" s="13" t="s">
        <v>523</v>
      </c>
      <c r="D108" s="13" t="s">
        <v>140</v>
      </c>
      <c r="E108" s="13" t="s">
        <v>97</v>
      </c>
      <c r="F108" s="13" t="s">
        <v>68</v>
      </c>
      <c r="G108" s="13" t="s">
        <v>69</v>
      </c>
      <c r="H108" s="13" t="s">
        <v>524</v>
      </c>
      <c r="I108" s="13" t="s">
        <v>445</v>
      </c>
      <c r="J108" s="13" t="s">
        <v>525</v>
      </c>
      <c r="K108" s="14"/>
      <c r="L108" s="14" t="s">
        <v>31</v>
      </c>
      <c r="M108" s="14"/>
      <c r="N108" s="14"/>
      <c r="O108" s="14"/>
    </row>
    <row r="109" spans="1:15" ht="39.6" x14ac:dyDescent="0.3">
      <c r="A109" s="12" t="s">
        <v>526</v>
      </c>
      <c r="B109" s="13" t="s">
        <v>38</v>
      </c>
      <c r="C109" s="13" t="s">
        <v>345</v>
      </c>
      <c r="D109" s="13" t="s">
        <v>346</v>
      </c>
      <c r="E109" s="13" t="s">
        <v>135</v>
      </c>
      <c r="F109" s="13" t="s">
        <v>98</v>
      </c>
      <c r="G109" s="13" t="s">
        <v>69</v>
      </c>
      <c r="H109" s="13" t="s">
        <v>527</v>
      </c>
      <c r="I109" s="13" t="s">
        <v>528</v>
      </c>
      <c r="J109" s="13" t="s">
        <v>529</v>
      </c>
      <c r="K109" s="14"/>
      <c r="L109" s="14" t="s">
        <v>31</v>
      </c>
      <c r="M109" s="14"/>
      <c r="N109" s="14"/>
      <c r="O109" s="14"/>
    </row>
    <row r="110" spans="1:15" ht="79.2" x14ac:dyDescent="0.3">
      <c r="A110" s="12" t="s">
        <v>530</v>
      </c>
      <c r="B110" s="13" t="s">
        <v>39</v>
      </c>
      <c r="C110" s="13" t="s">
        <v>184</v>
      </c>
      <c r="D110" s="13" t="s">
        <v>108</v>
      </c>
      <c r="E110" s="13" t="s">
        <v>135</v>
      </c>
      <c r="F110" s="13" t="s">
        <v>68</v>
      </c>
      <c r="G110" s="13" t="s">
        <v>69</v>
      </c>
      <c r="H110" s="13" t="s">
        <v>531</v>
      </c>
      <c r="I110" s="13" t="s">
        <v>532</v>
      </c>
      <c r="J110" s="13" t="s">
        <v>533</v>
      </c>
      <c r="K110" s="14"/>
      <c r="L110" s="14" t="s">
        <v>31</v>
      </c>
      <c r="M110" s="14"/>
      <c r="N110" s="14"/>
      <c r="O110" s="14"/>
    </row>
    <row r="111" spans="1:15" ht="39.6" x14ac:dyDescent="0.3">
      <c r="A111" s="12" t="s">
        <v>534</v>
      </c>
      <c r="B111" s="13" t="s">
        <v>39</v>
      </c>
      <c r="C111" s="13" t="s">
        <v>535</v>
      </c>
      <c r="D111" s="13" t="s">
        <v>108</v>
      </c>
      <c r="E111" s="13" t="s">
        <v>135</v>
      </c>
      <c r="F111" s="13" t="s">
        <v>68</v>
      </c>
      <c r="G111" s="13" t="s">
        <v>69</v>
      </c>
      <c r="H111" s="13" t="s">
        <v>536</v>
      </c>
      <c r="I111" s="13" t="s">
        <v>537</v>
      </c>
      <c r="J111" s="13" t="s">
        <v>538</v>
      </c>
      <c r="K111" s="14"/>
      <c r="L111" s="14" t="s">
        <v>31</v>
      </c>
      <c r="M111" s="14"/>
      <c r="N111" s="14"/>
      <c r="O111" s="14"/>
    </row>
    <row r="112" spans="1:15" ht="79.2" x14ac:dyDescent="0.3">
      <c r="A112" s="12" t="s">
        <v>539</v>
      </c>
      <c r="B112" s="13" t="s">
        <v>39</v>
      </c>
      <c r="C112" s="13" t="s">
        <v>540</v>
      </c>
      <c r="D112" s="13" t="s">
        <v>108</v>
      </c>
      <c r="E112" s="13" t="s">
        <v>135</v>
      </c>
      <c r="F112" s="13" t="s">
        <v>68</v>
      </c>
      <c r="G112" s="13" t="s">
        <v>69</v>
      </c>
      <c r="H112" s="13" t="s">
        <v>541</v>
      </c>
      <c r="I112" s="13" t="s">
        <v>542</v>
      </c>
      <c r="J112" s="13" t="s">
        <v>543</v>
      </c>
      <c r="K112" s="14"/>
      <c r="L112" s="14" t="s">
        <v>31</v>
      </c>
      <c r="M112" s="14"/>
      <c r="N112" s="14"/>
      <c r="O112" s="14"/>
    </row>
    <row r="113" spans="1:15" ht="26.4" x14ac:dyDescent="0.3">
      <c r="A113" s="12" t="s">
        <v>544</v>
      </c>
      <c r="B113" s="13" t="s">
        <v>39</v>
      </c>
      <c r="C113" s="13" t="s">
        <v>540</v>
      </c>
      <c r="D113" s="13" t="s">
        <v>545</v>
      </c>
      <c r="E113" s="13" t="s">
        <v>135</v>
      </c>
      <c r="F113" s="13" t="s">
        <v>98</v>
      </c>
      <c r="G113" s="13" t="s">
        <v>69</v>
      </c>
      <c r="H113" s="13" t="s">
        <v>546</v>
      </c>
      <c r="I113" s="13" t="s">
        <v>547</v>
      </c>
      <c r="J113" s="13" t="s">
        <v>548</v>
      </c>
      <c r="K113" s="14"/>
      <c r="L113" s="14" t="s">
        <v>31</v>
      </c>
      <c r="M113" s="14"/>
      <c r="N113" s="14"/>
      <c r="O113" s="14"/>
    </row>
    <row r="114" spans="1:15" ht="39.6" x14ac:dyDescent="0.3">
      <c r="A114" s="12" t="s">
        <v>549</v>
      </c>
      <c r="B114" s="13" t="s">
        <v>39</v>
      </c>
      <c r="C114" s="13" t="s">
        <v>550</v>
      </c>
      <c r="D114" s="13" t="s">
        <v>108</v>
      </c>
      <c r="E114" s="13" t="s">
        <v>135</v>
      </c>
      <c r="F114" s="13" t="s">
        <v>68</v>
      </c>
      <c r="G114" s="13" t="s">
        <v>69</v>
      </c>
      <c r="H114" s="13" t="s">
        <v>551</v>
      </c>
      <c r="I114" s="13" t="s">
        <v>552</v>
      </c>
      <c r="J114" s="13" t="s">
        <v>553</v>
      </c>
      <c r="K114" s="14"/>
      <c r="L114" s="14" t="s">
        <v>31</v>
      </c>
      <c r="M114" s="14"/>
      <c r="N114" s="14"/>
      <c r="O114" s="14"/>
    </row>
    <row r="115" spans="1:15" ht="26.4" x14ac:dyDescent="0.3">
      <c r="A115" s="12" t="s">
        <v>554</v>
      </c>
      <c r="B115" s="13" t="s">
        <v>39</v>
      </c>
      <c r="C115" s="13" t="s">
        <v>555</v>
      </c>
      <c r="D115" s="13" t="s">
        <v>108</v>
      </c>
      <c r="E115" s="13" t="s">
        <v>135</v>
      </c>
      <c r="F115" s="13" t="s">
        <v>78</v>
      </c>
      <c r="G115" s="13" t="s">
        <v>69</v>
      </c>
      <c r="H115" s="13" t="s">
        <v>556</v>
      </c>
      <c r="I115" s="13" t="s">
        <v>557</v>
      </c>
      <c r="J115" s="13" t="s">
        <v>558</v>
      </c>
      <c r="K115" s="14"/>
      <c r="L115" s="14" t="s">
        <v>31</v>
      </c>
      <c r="M115" s="14"/>
      <c r="N115" s="14"/>
      <c r="O115" s="14"/>
    </row>
    <row r="116" spans="1:15" ht="39.6" x14ac:dyDescent="0.3">
      <c r="A116" s="12" t="s">
        <v>559</v>
      </c>
      <c r="B116" s="13" t="s">
        <v>39</v>
      </c>
      <c r="C116" s="13" t="s">
        <v>555</v>
      </c>
      <c r="D116" s="13" t="s">
        <v>108</v>
      </c>
      <c r="E116" s="13" t="s">
        <v>135</v>
      </c>
      <c r="F116" s="13" t="s">
        <v>78</v>
      </c>
      <c r="G116" s="13" t="s">
        <v>69</v>
      </c>
      <c r="H116" s="13" t="s">
        <v>560</v>
      </c>
      <c r="I116" s="13" t="s">
        <v>561</v>
      </c>
      <c r="J116" s="13" t="s">
        <v>562</v>
      </c>
      <c r="K116" s="14"/>
      <c r="L116" s="14" t="s">
        <v>31</v>
      </c>
      <c r="M116" s="14"/>
      <c r="N116" s="14"/>
      <c r="O116" s="14"/>
    </row>
    <row r="117" spans="1:15" ht="26.4" x14ac:dyDescent="0.3">
      <c r="A117" s="12" t="s">
        <v>563</v>
      </c>
      <c r="B117" s="13" t="s">
        <v>39</v>
      </c>
      <c r="C117" s="13" t="s">
        <v>19</v>
      </c>
      <c r="D117" s="13" t="s">
        <v>108</v>
      </c>
      <c r="E117" s="13" t="s">
        <v>135</v>
      </c>
      <c r="F117" s="13" t="s">
        <v>68</v>
      </c>
      <c r="G117" s="13" t="s">
        <v>69</v>
      </c>
      <c r="H117" s="13" t="s">
        <v>564</v>
      </c>
      <c r="I117" s="13" t="s">
        <v>565</v>
      </c>
      <c r="J117" s="13" t="s">
        <v>566</v>
      </c>
      <c r="K117" s="14"/>
      <c r="L117" s="14" t="s">
        <v>31</v>
      </c>
      <c r="M117" s="14"/>
      <c r="N117" s="14"/>
      <c r="O117" s="14"/>
    </row>
    <row r="118" spans="1:15" x14ac:dyDescent="0.3">
      <c r="A118" s="12" t="s">
        <v>567</v>
      </c>
      <c r="B118" s="13" t="s">
        <v>39</v>
      </c>
      <c r="C118" s="13" t="s">
        <v>19</v>
      </c>
      <c r="D118" s="13" t="s">
        <v>108</v>
      </c>
      <c r="E118" s="13" t="s">
        <v>135</v>
      </c>
      <c r="F118" s="13" t="s">
        <v>98</v>
      </c>
      <c r="G118" s="13" t="s">
        <v>69</v>
      </c>
      <c r="H118" s="13" t="s">
        <v>66</v>
      </c>
      <c r="I118" s="13" t="s">
        <v>568</v>
      </c>
      <c r="J118" s="13" t="s">
        <v>569</v>
      </c>
      <c r="K118" s="14"/>
      <c r="L118" s="14" t="s">
        <v>31</v>
      </c>
      <c r="M118" s="14"/>
      <c r="N118" s="14"/>
      <c r="O118" s="14"/>
    </row>
    <row r="119" spans="1:15" ht="52.8" x14ac:dyDescent="0.3">
      <c r="A119" s="12" t="s">
        <v>570</v>
      </c>
      <c r="B119" s="13" t="s">
        <v>39</v>
      </c>
      <c r="C119" s="13" t="s">
        <v>571</v>
      </c>
      <c r="D119" s="13" t="s">
        <v>108</v>
      </c>
      <c r="E119" s="13" t="s">
        <v>179</v>
      </c>
      <c r="F119" s="13" t="s">
        <v>68</v>
      </c>
      <c r="G119" s="13" t="s">
        <v>69</v>
      </c>
      <c r="H119" s="13" t="s">
        <v>572</v>
      </c>
      <c r="I119" s="13" t="s">
        <v>573</v>
      </c>
      <c r="J119" s="13" t="s">
        <v>574</v>
      </c>
      <c r="K119" s="14"/>
      <c r="L119" s="14" t="s">
        <v>31</v>
      </c>
      <c r="M119" s="14"/>
      <c r="N119" s="14"/>
      <c r="O119" s="14"/>
    </row>
    <row r="120" spans="1:15" ht="26.4" x14ac:dyDescent="0.3">
      <c r="A120" s="12" t="s">
        <v>575</v>
      </c>
      <c r="B120" s="13" t="s">
        <v>39</v>
      </c>
      <c r="C120" s="13" t="s">
        <v>576</v>
      </c>
      <c r="D120" s="13" t="s">
        <v>108</v>
      </c>
      <c r="E120" s="13" t="s">
        <v>135</v>
      </c>
      <c r="F120" s="13" t="s">
        <v>98</v>
      </c>
      <c r="G120" s="13" t="s">
        <v>69</v>
      </c>
      <c r="H120" s="13" t="s">
        <v>577</v>
      </c>
      <c r="I120" s="13" t="s">
        <v>578</v>
      </c>
      <c r="J120" s="13" t="s">
        <v>579</v>
      </c>
      <c r="K120" s="14"/>
      <c r="L120" s="14" t="s">
        <v>31</v>
      </c>
      <c r="M120" s="14"/>
      <c r="N120" s="14"/>
      <c r="O120" s="14"/>
    </row>
    <row r="121" spans="1:15" ht="145.19999999999999" x14ac:dyDescent="0.3">
      <c r="A121" s="12" t="s">
        <v>580</v>
      </c>
      <c r="B121" s="13" t="s">
        <v>39</v>
      </c>
      <c r="C121" s="13" t="s">
        <v>581</v>
      </c>
      <c r="D121" s="13" t="s">
        <v>108</v>
      </c>
      <c r="E121" s="13" t="s">
        <v>135</v>
      </c>
      <c r="F121" s="13" t="s">
        <v>68</v>
      </c>
      <c r="G121" s="13" t="s">
        <v>69</v>
      </c>
      <c r="H121" s="13" t="s">
        <v>582</v>
      </c>
      <c r="I121" s="13" t="s">
        <v>583</v>
      </c>
      <c r="J121" s="13" t="s">
        <v>584</v>
      </c>
      <c r="K121" s="14"/>
      <c r="L121" s="14" t="s">
        <v>31</v>
      </c>
      <c r="M121" s="14"/>
      <c r="N121" s="14"/>
      <c r="O121" s="14"/>
    </row>
    <row r="122" spans="1:15" ht="39.6" x14ac:dyDescent="0.3">
      <c r="A122" s="12" t="s">
        <v>585</v>
      </c>
      <c r="B122" s="13" t="s">
        <v>39</v>
      </c>
      <c r="C122" s="13" t="s">
        <v>586</v>
      </c>
      <c r="D122" s="13" t="s">
        <v>587</v>
      </c>
      <c r="E122" s="13" t="s">
        <v>135</v>
      </c>
      <c r="F122" s="13" t="s">
        <v>78</v>
      </c>
      <c r="G122" s="13" t="s">
        <v>69</v>
      </c>
      <c r="H122" s="13" t="s">
        <v>588</v>
      </c>
      <c r="I122" s="13" t="s">
        <v>589</v>
      </c>
      <c r="J122" s="13" t="s">
        <v>590</v>
      </c>
      <c r="K122" s="14"/>
      <c r="L122" s="14" t="s">
        <v>31</v>
      </c>
      <c r="M122" s="14"/>
      <c r="N122" s="14"/>
      <c r="O122" s="14"/>
    </row>
    <row r="123" spans="1:15" ht="66" x14ac:dyDescent="0.3">
      <c r="A123" s="12" t="s">
        <v>591</v>
      </c>
      <c r="B123" s="13" t="s">
        <v>39</v>
      </c>
      <c r="C123" s="13" t="s">
        <v>592</v>
      </c>
      <c r="D123" s="13" t="s">
        <v>108</v>
      </c>
      <c r="E123" s="13" t="s">
        <v>179</v>
      </c>
      <c r="F123" s="13" t="s">
        <v>68</v>
      </c>
      <c r="G123" s="13" t="s">
        <v>69</v>
      </c>
      <c r="H123" s="13" t="s">
        <v>593</v>
      </c>
      <c r="I123" s="13" t="s">
        <v>594</v>
      </c>
      <c r="J123" s="13" t="s">
        <v>595</v>
      </c>
      <c r="K123" s="14"/>
      <c r="L123" s="14" t="s">
        <v>31</v>
      </c>
      <c r="M123" s="14"/>
      <c r="N123" s="14"/>
      <c r="O123" s="14"/>
    </row>
    <row r="124" spans="1:15" ht="79.2" x14ac:dyDescent="0.3">
      <c r="A124" s="12" t="s">
        <v>596</v>
      </c>
      <c r="B124" s="13" t="s">
        <v>39</v>
      </c>
      <c r="C124" s="13" t="s">
        <v>597</v>
      </c>
      <c r="D124" s="13" t="s">
        <v>384</v>
      </c>
      <c r="E124" s="13" t="s">
        <v>135</v>
      </c>
      <c r="F124" s="13" t="s">
        <v>68</v>
      </c>
      <c r="G124" s="13" t="s">
        <v>69</v>
      </c>
      <c r="H124" s="13" t="s">
        <v>598</v>
      </c>
      <c r="I124" s="13" t="s">
        <v>599</v>
      </c>
      <c r="J124" s="13" t="s">
        <v>600</v>
      </c>
      <c r="K124" s="14"/>
      <c r="L124" s="14" t="s">
        <v>31</v>
      </c>
      <c r="M124" s="14"/>
      <c r="N124" s="14"/>
      <c r="O124" s="14"/>
    </row>
    <row r="125" spans="1:15" ht="39.6" x14ac:dyDescent="0.3">
      <c r="A125" s="12" t="s">
        <v>601</v>
      </c>
      <c r="B125" s="13" t="s">
        <v>39</v>
      </c>
      <c r="C125" s="13" t="s">
        <v>602</v>
      </c>
      <c r="D125" s="13" t="s">
        <v>384</v>
      </c>
      <c r="E125" s="13" t="s">
        <v>97</v>
      </c>
      <c r="F125" s="13" t="s">
        <v>68</v>
      </c>
      <c r="G125" s="13" t="s">
        <v>69</v>
      </c>
      <c r="H125" s="13" t="s">
        <v>603</v>
      </c>
      <c r="I125" s="13" t="s">
        <v>604</v>
      </c>
      <c r="J125" s="13" t="s">
        <v>605</v>
      </c>
      <c r="K125" s="14"/>
      <c r="L125" s="14" t="s">
        <v>31</v>
      </c>
      <c r="M125" s="14"/>
      <c r="N125" s="14"/>
      <c r="O125" s="14"/>
    </row>
    <row r="126" spans="1:15" x14ac:dyDescent="0.3">
      <c r="A126" s="12" t="s">
        <v>606</v>
      </c>
      <c r="B126" s="13" t="s">
        <v>39</v>
      </c>
      <c r="C126" s="13" t="s">
        <v>607</v>
      </c>
      <c r="D126" s="13" t="s">
        <v>108</v>
      </c>
      <c r="E126" s="13" t="s">
        <v>179</v>
      </c>
      <c r="F126" s="13" t="s">
        <v>78</v>
      </c>
      <c r="G126" s="13" t="s">
        <v>69</v>
      </c>
      <c r="H126" s="13" t="s">
        <v>608</v>
      </c>
      <c r="I126" s="13" t="s">
        <v>609</v>
      </c>
      <c r="J126" s="13" t="s">
        <v>610</v>
      </c>
      <c r="K126" s="14"/>
      <c r="L126" s="14" t="s">
        <v>31</v>
      </c>
      <c r="M126" s="14"/>
      <c r="N126" s="14"/>
      <c r="O126" s="14"/>
    </row>
    <row r="127" spans="1:15" ht="52.8" x14ac:dyDescent="0.3">
      <c r="A127" s="12" t="s">
        <v>611</v>
      </c>
      <c r="B127" s="13" t="s">
        <v>39</v>
      </c>
      <c r="C127" s="13" t="s">
        <v>612</v>
      </c>
      <c r="D127" s="13" t="s">
        <v>108</v>
      </c>
      <c r="E127" s="13" t="s">
        <v>135</v>
      </c>
      <c r="F127" s="13" t="s">
        <v>68</v>
      </c>
      <c r="G127" s="13" t="s">
        <v>69</v>
      </c>
      <c r="H127" s="13" t="s">
        <v>608</v>
      </c>
      <c r="I127" s="13" t="s">
        <v>613</v>
      </c>
      <c r="J127" s="13" t="s">
        <v>614</v>
      </c>
      <c r="K127" s="14"/>
      <c r="L127" s="14" t="s">
        <v>31</v>
      </c>
      <c r="M127" s="14"/>
      <c r="N127" s="14"/>
      <c r="O127" s="14"/>
    </row>
    <row r="128" spans="1:15" ht="66" x14ac:dyDescent="0.3">
      <c r="A128" s="12" t="s">
        <v>615</v>
      </c>
      <c r="B128" s="13" t="s">
        <v>39</v>
      </c>
      <c r="C128" s="13" t="s">
        <v>612</v>
      </c>
      <c r="D128" s="13" t="s">
        <v>108</v>
      </c>
      <c r="E128" s="13" t="s">
        <v>135</v>
      </c>
      <c r="F128" s="13" t="s">
        <v>68</v>
      </c>
      <c r="G128" s="13" t="s">
        <v>69</v>
      </c>
      <c r="H128" s="13" t="s">
        <v>616</v>
      </c>
      <c r="I128" s="13" t="s">
        <v>617</v>
      </c>
      <c r="J128" s="13" t="s">
        <v>618</v>
      </c>
      <c r="K128" s="14"/>
      <c r="L128" s="14" t="s">
        <v>31</v>
      </c>
      <c r="M128" s="14"/>
      <c r="N128" s="14"/>
      <c r="O128" s="14"/>
    </row>
    <row r="129" spans="1:15" ht="52.8" x14ac:dyDescent="0.3">
      <c r="A129" s="12" t="s">
        <v>619</v>
      </c>
      <c r="B129" s="13" t="s">
        <v>39</v>
      </c>
      <c r="C129" s="13" t="s">
        <v>620</v>
      </c>
      <c r="D129" s="13" t="s">
        <v>108</v>
      </c>
      <c r="E129" s="13" t="s">
        <v>135</v>
      </c>
      <c r="F129" s="13" t="s">
        <v>78</v>
      </c>
      <c r="G129" s="13" t="s">
        <v>69</v>
      </c>
      <c r="H129" s="13" t="s">
        <v>616</v>
      </c>
      <c r="I129" s="13" t="s">
        <v>621</v>
      </c>
      <c r="J129" s="13" t="s">
        <v>622</v>
      </c>
      <c r="K129" s="14"/>
      <c r="L129" s="14" t="s">
        <v>31</v>
      </c>
      <c r="M129" s="14"/>
      <c r="N129" s="14"/>
      <c r="O129" s="14"/>
    </row>
    <row r="130" spans="1:15" ht="26.4" x14ac:dyDescent="0.3">
      <c r="A130" s="12" t="s">
        <v>623</v>
      </c>
      <c r="B130" s="13" t="s">
        <v>39</v>
      </c>
      <c r="C130" s="13" t="s">
        <v>620</v>
      </c>
      <c r="D130" s="13" t="s">
        <v>108</v>
      </c>
      <c r="E130" s="13" t="s">
        <v>179</v>
      </c>
      <c r="F130" s="13" t="s">
        <v>78</v>
      </c>
      <c r="G130" s="13" t="s">
        <v>69</v>
      </c>
      <c r="H130" s="13" t="s">
        <v>608</v>
      </c>
      <c r="I130" s="13" t="s">
        <v>624</v>
      </c>
      <c r="J130" s="13" t="s">
        <v>625</v>
      </c>
      <c r="K130" s="14"/>
      <c r="L130" s="14" t="s">
        <v>31</v>
      </c>
      <c r="M130" s="14"/>
      <c r="N130" s="14"/>
      <c r="O130" s="14"/>
    </row>
    <row r="131" spans="1:15" ht="39.6" x14ac:dyDescent="0.3">
      <c r="A131" s="12" t="s">
        <v>626</v>
      </c>
      <c r="B131" s="13" t="s">
        <v>39</v>
      </c>
      <c r="C131" s="13" t="s">
        <v>627</v>
      </c>
      <c r="D131" s="13" t="s">
        <v>384</v>
      </c>
      <c r="E131" s="13" t="s">
        <v>179</v>
      </c>
      <c r="F131" s="13" t="s">
        <v>78</v>
      </c>
      <c r="G131" s="13" t="s">
        <v>628</v>
      </c>
      <c r="H131" s="13" t="s">
        <v>629</v>
      </c>
      <c r="I131" s="13" t="s">
        <v>630</v>
      </c>
      <c r="J131" s="13" t="s">
        <v>631</v>
      </c>
      <c r="K131" s="14"/>
      <c r="L131" s="14" t="s">
        <v>31</v>
      </c>
      <c r="M131" s="14"/>
      <c r="N131" s="14"/>
      <c r="O131" s="14"/>
    </row>
    <row r="132" spans="1:15" ht="26.4" x14ac:dyDescent="0.3">
      <c r="A132" s="12" t="s">
        <v>632</v>
      </c>
      <c r="B132" s="13" t="s">
        <v>39</v>
      </c>
      <c r="C132" s="13" t="s">
        <v>633</v>
      </c>
      <c r="D132" s="13" t="s">
        <v>108</v>
      </c>
      <c r="E132" s="13" t="s">
        <v>97</v>
      </c>
      <c r="F132" s="13" t="s">
        <v>68</v>
      </c>
      <c r="G132" s="13" t="s">
        <v>69</v>
      </c>
      <c r="H132" s="13" t="s">
        <v>634</v>
      </c>
      <c r="I132" s="13" t="s">
        <v>635</v>
      </c>
      <c r="J132" s="13" t="s">
        <v>636</v>
      </c>
      <c r="K132" s="14"/>
      <c r="L132" s="14" t="s">
        <v>31</v>
      </c>
      <c r="M132" s="14"/>
      <c r="N132" s="14"/>
      <c r="O132" s="14"/>
    </row>
    <row r="133" spans="1:15" ht="66" x14ac:dyDescent="0.3">
      <c r="A133" s="12" t="s">
        <v>637</v>
      </c>
      <c r="B133" s="13" t="s">
        <v>39</v>
      </c>
      <c r="C133" s="13" t="s">
        <v>633</v>
      </c>
      <c r="D133" s="13" t="s">
        <v>108</v>
      </c>
      <c r="E133" s="13" t="s">
        <v>135</v>
      </c>
      <c r="F133" s="13" t="s">
        <v>68</v>
      </c>
      <c r="G133" s="13" t="s">
        <v>69</v>
      </c>
      <c r="H133" s="13" t="s">
        <v>634</v>
      </c>
      <c r="I133" s="13" t="s">
        <v>638</v>
      </c>
      <c r="J133" s="13" t="s">
        <v>639</v>
      </c>
      <c r="K133" s="14"/>
      <c r="L133" s="14" t="s">
        <v>31</v>
      </c>
      <c r="M133" s="14"/>
      <c r="N133" s="14"/>
      <c r="O133" s="14"/>
    </row>
    <row r="134" spans="1:15" ht="26.4" x14ac:dyDescent="0.3">
      <c r="A134" s="12" t="s">
        <v>640</v>
      </c>
      <c r="B134" s="13" t="s">
        <v>39</v>
      </c>
      <c r="C134" s="13" t="s">
        <v>641</v>
      </c>
      <c r="D134" s="13" t="s">
        <v>108</v>
      </c>
      <c r="E134" s="13" t="s">
        <v>135</v>
      </c>
      <c r="F134" s="13" t="s">
        <v>68</v>
      </c>
      <c r="G134" s="13" t="s">
        <v>69</v>
      </c>
      <c r="H134" s="13" t="s">
        <v>642</v>
      </c>
      <c r="I134" s="13" t="s">
        <v>643</v>
      </c>
      <c r="J134" s="13" t="s">
        <v>644</v>
      </c>
      <c r="K134" s="14"/>
      <c r="L134" s="14" t="s">
        <v>31</v>
      </c>
      <c r="M134" s="14"/>
      <c r="N134" s="14"/>
      <c r="O134" s="14"/>
    </row>
    <row r="135" spans="1:15" ht="26.4" x14ac:dyDescent="0.3">
      <c r="A135" s="12" t="s">
        <v>645</v>
      </c>
      <c r="B135" s="13" t="s">
        <v>39</v>
      </c>
      <c r="C135" s="13" t="s">
        <v>646</v>
      </c>
      <c r="D135" s="13" t="s">
        <v>108</v>
      </c>
      <c r="E135" s="13" t="s">
        <v>97</v>
      </c>
      <c r="F135" s="13" t="s">
        <v>68</v>
      </c>
      <c r="G135" s="13" t="s">
        <v>69</v>
      </c>
      <c r="H135" s="13" t="s">
        <v>647</v>
      </c>
      <c r="I135" s="13" t="s">
        <v>648</v>
      </c>
      <c r="J135" s="13" t="s">
        <v>649</v>
      </c>
      <c r="K135" s="14"/>
      <c r="L135" s="14" t="s">
        <v>31</v>
      </c>
      <c r="M135" s="14"/>
      <c r="N135" s="14"/>
      <c r="O135" s="14"/>
    </row>
    <row r="136" spans="1:15" ht="92.4" x14ac:dyDescent="0.3">
      <c r="A136" s="12" t="s">
        <v>650</v>
      </c>
      <c r="B136" s="13" t="s">
        <v>39</v>
      </c>
      <c r="C136" s="13" t="s">
        <v>646</v>
      </c>
      <c r="D136" s="13" t="s">
        <v>108</v>
      </c>
      <c r="E136" s="13" t="s">
        <v>135</v>
      </c>
      <c r="F136" s="13" t="s">
        <v>68</v>
      </c>
      <c r="G136" s="13" t="s">
        <v>69</v>
      </c>
      <c r="H136" s="13" t="s">
        <v>651</v>
      </c>
      <c r="I136" s="13" t="s">
        <v>652</v>
      </c>
      <c r="J136" s="13" t="s">
        <v>653</v>
      </c>
      <c r="K136" s="14"/>
      <c r="L136" s="14" t="s">
        <v>31</v>
      </c>
      <c r="M136" s="14"/>
      <c r="N136" s="14"/>
      <c r="O136" s="14"/>
    </row>
    <row r="137" spans="1:15" ht="39.6" x14ac:dyDescent="0.3">
      <c r="A137" s="12" t="s">
        <v>654</v>
      </c>
      <c r="B137" s="13" t="s">
        <v>39</v>
      </c>
      <c r="C137" s="13" t="s">
        <v>646</v>
      </c>
      <c r="D137" s="13" t="s">
        <v>108</v>
      </c>
      <c r="E137" s="13" t="s">
        <v>179</v>
      </c>
      <c r="F137" s="13" t="s">
        <v>78</v>
      </c>
      <c r="G137" s="13" t="s">
        <v>69</v>
      </c>
      <c r="H137" s="13" t="s">
        <v>651</v>
      </c>
      <c r="I137" s="13" t="s">
        <v>655</v>
      </c>
      <c r="J137" s="13" t="s">
        <v>656</v>
      </c>
      <c r="K137" s="14"/>
      <c r="L137" s="14" t="s">
        <v>31</v>
      </c>
      <c r="M137" s="14"/>
      <c r="N137" s="14"/>
      <c r="O137" s="14"/>
    </row>
    <row r="138" spans="1:15" ht="39.6" x14ac:dyDescent="0.3">
      <c r="A138" s="12" t="s">
        <v>657</v>
      </c>
      <c r="B138" s="13" t="s">
        <v>39</v>
      </c>
      <c r="C138" s="13" t="s">
        <v>658</v>
      </c>
      <c r="D138" s="13" t="s">
        <v>108</v>
      </c>
      <c r="E138" s="13" t="s">
        <v>179</v>
      </c>
      <c r="F138" s="13" t="s">
        <v>98</v>
      </c>
      <c r="G138" s="13" t="s">
        <v>69</v>
      </c>
      <c r="H138" s="13" t="s">
        <v>659</v>
      </c>
      <c r="I138" s="13" t="s">
        <v>660</v>
      </c>
      <c r="J138" s="13" t="s">
        <v>661</v>
      </c>
      <c r="K138" s="14"/>
      <c r="L138" s="14" t="s">
        <v>31</v>
      </c>
      <c r="M138" s="14"/>
      <c r="N138" s="14"/>
      <c r="O138" s="14"/>
    </row>
    <row r="139" spans="1:15" ht="39.6" x14ac:dyDescent="0.3">
      <c r="A139" s="12" t="s">
        <v>662</v>
      </c>
      <c r="B139" s="13" t="s">
        <v>39</v>
      </c>
      <c r="C139" s="13" t="s">
        <v>663</v>
      </c>
      <c r="D139" s="13" t="s">
        <v>108</v>
      </c>
      <c r="E139" s="13" t="s">
        <v>97</v>
      </c>
      <c r="F139" s="13" t="s">
        <v>68</v>
      </c>
      <c r="G139" s="13" t="s">
        <v>69</v>
      </c>
      <c r="H139" s="13" t="s">
        <v>664</v>
      </c>
      <c r="I139" s="13" t="s">
        <v>665</v>
      </c>
      <c r="J139" s="13" t="s">
        <v>666</v>
      </c>
      <c r="K139" s="14"/>
      <c r="L139" s="14" t="s">
        <v>31</v>
      </c>
      <c r="M139" s="14"/>
      <c r="N139" s="14"/>
      <c r="O139" s="14"/>
    </row>
    <row r="140" spans="1:15" ht="92.4" x14ac:dyDescent="0.3">
      <c r="A140" s="12" t="s">
        <v>667</v>
      </c>
      <c r="B140" s="13" t="s">
        <v>39</v>
      </c>
      <c r="C140" s="13" t="s">
        <v>668</v>
      </c>
      <c r="D140" s="13" t="s">
        <v>108</v>
      </c>
      <c r="E140" s="13" t="s">
        <v>135</v>
      </c>
      <c r="F140" s="13" t="s">
        <v>68</v>
      </c>
      <c r="G140" s="13" t="s">
        <v>69</v>
      </c>
      <c r="H140" s="13" t="s">
        <v>669</v>
      </c>
      <c r="I140" s="13" t="s">
        <v>670</v>
      </c>
      <c r="J140" s="13" t="s">
        <v>671</v>
      </c>
      <c r="K140" s="14"/>
      <c r="L140" s="14" t="s">
        <v>31</v>
      </c>
      <c r="M140" s="14"/>
      <c r="N140" s="14"/>
      <c r="O140" s="14"/>
    </row>
    <row r="141" spans="1:15" ht="26.4" x14ac:dyDescent="0.3">
      <c r="A141" s="12" t="s">
        <v>672</v>
      </c>
      <c r="B141" s="13" t="s">
        <v>39</v>
      </c>
      <c r="C141" s="13" t="s">
        <v>668</v>
      </c>
      <c r="D141" s="13" t="s">
        <v>108</v>
      </c>
      <c r="E141" s="13" t="s">
        <v>179</v>
      </c>
      <c r="F141" s="13" t="s">
        <v>78</v>
      </c>
      <c r="G141" s="13" t="s">
        <v>69</v>
      </c>
      <c r="H141" s="13" t="s">
        <v>673</v>
      </c>
      <c r="I141" s="13" t="s">
        <v>674</v>
      </c>
      <c r="J141" s="13" t="s">
        <v>675</v>
      </c>
      <c r="K141" s="14"/>
      <c r="L141" s="14" t="s">
        <v>31</v>
      </c>
      <c r="M141" s="14"/>
      <c r="N141" s="14"/>
      <c r="O141" s="14"/>
    </row>
    <row r="142" spans="1:15" ht="26.4" x14ac:dyDescent="0.3">
      <c r="A142" s="12" t="s">
        <v>676</v>
      </c>
      <c r="B142" s="13" t="s">
        <v>39</v>
      </c>
      <c r="C142" s="13" t="s">
        <v>677</v>
      </c>
      <c r="D142" s="13" t="s">
        <v>108</v>
      </c>
      <c r="E142" s="13" t="s">
        <v>135</v>
      </c>
      <c r="F142" s="13" t="s">
        <v>68</v>
      </c>
      <c r="G142" s="13" t="s">
        <v>69</v>
      </c>
      <c r="H142" s="13" t="s">
        <v>678</v>
      </c>
      <c r="I142" s="13" t="s">
        <v>679</v>
      </c>
      <c r="J142" s="13" t="s">
        <v>680</v>
      </c>
      <c r="K142" s="14"/>
      <c r="L142" s="14" t="s">
        <v>31</v>
      </c>
      <c r="M142" s="14"/>
      <c r="N142" s="14"/>
      <c r="O142" s="14"/>
    </row>
    <row r="143" spans="1:15" ht="26.4" x14ac:dyDescent="0.3">
      <c r="A143" s="12" t="s">
        <v>681</v>
      </c>
      <c r="B143" s="13" t="s">
        <v>39</v>
      </c>
      <c r="C143" s="13" t="s">
        <v>682</v>
      </c>
      <c r="D143" s="13" t="s">
        <v>108</v>
      </c>
      <c r="E143" s="13" t="s">
        <v>135</v>
      </c>
      <c r="F143" s="13" t="s">
        <v>78</v>
      </c>
      <c r="G143" s="13" t="s">
        <v>69</v>
      </c>
      <c r="H143" s="13" t="s">
        <v>683</v>
      </c>
      <c r="I143" s="13" t="s">
        <v>684</v>
      </c>
      <c r="J143" s="13" t="s">
        <v>685</v>
      </c>
      <c r="K143" s="14"/>
      <c r="L143" s="14" t="s">
        <v>31</v>
      </c>
      <c r="M143" s="14"/>
      <c r="N143" s="14"/>
      <c r="O143" s="14"/>
    </row>
    <row r="144" spans="1:15" ht="39.6" x14ac:dyDescent="0.3">
      <c r="A144" s="12" t="s">
        <v>686</v>
      </c>
      <c r="B144" s="13" t="s">
        <v>39</v>
      </c>
      <c r="C144" s="13" t="s">
        <v>341</v>
      </c>
      <c r="D144" s="13" t="s">
        <v>108</v>
      </c>
      <c r="E144" s="13" t="s">
        <v>97</v>
      </c>
      <c r="F144" s="13" t="s">
        <v>78</v>
      </c>
      <c r="G144" s="13" t="s">
        <v>69</v>
      </c>
      <c r="H144" s="13" t="s">
        <v>687</v>
      </c>
      <c r="I144" s="13" t="s">
        <v>688</v>
      </c>
      <c r="J144" s="13" t="s">
        <v>689</v>
      </c>
      <c r="K144" s="14"/>
      <c r="L144" s="14" t="s">
        <v>31</v>
      </c>
      <c r="M144" s="14"/>
      <c r="N144" s="14"/>
      <c r="O144" s="14"/>
    </row>
    <row r="145" spans="1:15" ht="26.4" x14ac:dyDescent="0.3">
      <c r="A145" s="12" t="s">
        <v>690</v>
      </c>
      <c r="B145" s="13" t="s">
        <v>39</v>
      </c>
      <c r="C145" s="13" t="s">
        <v>345</v>
      </c>
      <c r="D145" s="13" t="s">
        <v>346</v>
      </c>
      <c r="E145" s="13" t="s">
        <v>135</v>
      </c>
      <c r="F145" s="13" t="s">
        <v>98</v>
      </c>
      <c r="G145" s="13" t="s">
        <v>69</v>
      </c>
      <c r="H145" s="13" t="s">
        <v>691</v>
      </c>
      <c r="I145" s="13" t="s">
        <v>692</v>
      </c>
      <c r="J145" s="13" t="s">
        <v>693</v>
      </c>
      <c r="K145" s="14"/>
      <c r="L145" s="14" t="s">
        <v>31</v>
      </c>
      <c r="M145" s="14"/>
      <c r="N145" s="14"/>
      <c r="O145" s="14"/>
    </row>
    <row r="146" spans="1:15" ht="52.8" x14ac:dyDescent="0.3">
      <c r="A146" s="12" t="s">
        <v>694</v>
      </c>
      <c r="B146" s="13" t="s">
        <v>40</v>
      </c>
      <c r="C146" s="13" t="s">
        <v>184</v>
      </c>
      <c r="D146" s="13" t="s">
        <v>108</v>
      </c>
      <c r="E146" s="13" t="s">
        <v>135</v>
      </c>
      <c r="F146" s="13" t="s">
        <v>68</v>
      </c>
      <c r="G146" s="13" t="s">
        <v>69</v>
      </c>
      <c r="H146" s="13" t="s">
        <v>440</v>
      </c>
      <c r="I146" s="13" t="s">
        <v>175</v>
      </c>
      <c r="J146" s="13" t="s">
        <v>695</v>
      </c>
      <c r="K146" s="14"/>
      <c r="L146" s="14" t="s">
        <v>31</v>
      </c>
      <c r="M146" s="14"/>
      <c r="N146" s="14"/>
      <c r="O146" s="14"/>
    </row>
    <row r="147" spans="1:15" ht="92.4" x14ac:dyDescent="0.3">
      <c r="A147" s="12" t="s">
        <v>696</v>
      </c>
      <c r="B147" s="13" t="s">
        <v>40</v>
      </c>
      <c r="C147" s="13" t="s">
        <v>697</v>
      </c>
      <c r="D147" s="13" t="s">
        <v>108</v>
      </c>
      <c r="E147" s="13" t="s">
        <v>135</v>
      </c>
      <c r="F147" s="13" t="s">
        <v>68</v>
      </c>
      <c r="G147" s="13" t="s">
        <v>69</v>
      </c>
      <c r="H147" s="13" t="s">
        <v>698</v>
      </c>
      <c r="I147" s="13" t="s">
        <v>699</v>
      </c>
      <c r="J147" s="13" t="s">
        <v>700</v>
      </c>
      <c r="K147" s="14"/>
      <c r="L147" s="14" t="s">
        <v>31</v>
      </c>
      <c r="M147" s="14"/>
      <c r="N147" s="14"/>
      <c r="O147" s="14"/>
    </row>
    <row r="148" spans="1:15" ht="52.8" x14ac:dyDescent="0.3">
      <c r="A148" s="12" t="s">
        <v>701</v>
      </c>
      <c r="B148" s="13" t="s">
        <v>40</v>
      </c>
      <c r="C148" s="13" t="s">
        <v>702</v>
      </c>
      <c r="D148" s="13" t="s">
        <v>108</v>
      </c>
      <c r="E148" s="13" t="s">
        <v>135</v>
      </c>
      <c r="F148" s="13" t="s">
        <v>68</v>
      </c>
      <c r="G148" s="13" t="s">
        <v>69</v>
      </c>
      <c r="H148" s="13" t="s">
        <v>703</v>
      </c>
      <c r="I148" s="13" t="s">
        <v>704</v>
      </c>
      <c r="J148" s="13" t="s">
        <v>705</v>
      </c>
      <c r="K148" s="14"/>
      <c r="L148" s="14" t="s">
        <v>31</v>
      </c>
      <c r="M148" s="14"/>
      <c r="N148" s="14"/>
      <c r="O148" s="14"/>
    </row>
    <row r="149" spans="1:15" ht="39.6" x14ac:dyDescent="0.3">
      <c r="A149" s="12" t="s">
        <v>706</v>
      </c>
      <c r="B149" s="13" t="s">
        <v>40</v>
      </c>
      <c r="C149" s="13" t="s">
        <v>707</v>
      </c>
      <c r="D149" s="13" t="s">
        <v>108</v>
      </c>
      <c r="E149" s="13" t="s">
        <v>135</v>
      </c>
      <c r="F149" s="13" t="s">
        <v>68</v>
      </c>
      <c r="G149" s="13" t="s">
        <v>69</v>
      </c>
      <c r="H149" s="13" t="s">
        <v>708</v>
      </c>
      <c r="I149" s="13" t="s">
        <v>709</v>
      </c>
      <c r="J149" s="13" t="s">
        <v>710</v>
      </c>
      <c r="K149" s="14"/>
      <c r="L149" s="14" t="s">
        <v>31</v>
      </c>
      <c r="M149" s="14"/>
      <c r="N149" s="14"/>
      <c r="O149" s="14"/>
    </row>
    <row r="150" spans="1:15" ht="39.6" x14ac:dyDescent="0.3">
      <c r="A150" s="12" t="s">
        <v>711</v>
      </c>
      <c r="B150" s="13" t="s">
        <v>40</v>
      </c>
      <c r="C150" s="13" t="s">
        <v>707</v>
      </c>
      <c r="D150" s="13" t="s">
        <v>108</v>
      </c>
      <c r="E150" s="13" t="s">
        <v>179</v>
      </c>
      <c r="F150" s="13" t="s">
        <v>78</v>
      </c>
      <c r="G150" s="13" t="s">
        <v>69</v>
      </c>
      <c r="H150" s="13" t="s">
        <v>712</v>
      </c>
      <c r="I150" s="13" t="s">
        <v>713</v>
      </c>
      <c r="J150" s="13" t="s">
        <v>714</v>
      </c>
      <c r="K150" s="14"/>
      <c r="L150" s="14" t="s">
        <v>31</v>
      </c>
      <c r="M150" s="14"/>
      <c r="N150" s="14"/>
      <c r="O150" s="14"/>
    </row>
    <row r="151" spans="1:15" ht="26.4" x14ac:dyDescent="0.3">
      <c r="A151" s="12" t="s">
        <v>715</v>
      </c>
      <c r="B151" s="13" t="s">
        <v>40</v>
      </c>
      <c r="C151" s="13" t="s">
        <v>716</v>
      </c>
      <c r="D151" s="13" t="s">
        <v>108</v>
      </c>
      <c r="E151" s="13" t="s">
        <v>135</v>
      </c>
      <c r="F151" s="13" t="s">
        <v>68</v>
      </c>
      <c r="G151" s="13" t="s">
        <v>69</v>
      </c>
      <c r="H151" s="13" t="s">
        <v>440</v>
      </c>
      <c r="I151" s="13" t="s">
        <v>717</v>
      </c>
      <c r="J151" s="13" t="s">
        <v>718</v>
      </c>
      <c r="K151" s="14"/>
      <c r="L151" s="14" t="s">
        <v>31</v>
      </c>
      <c r="M151" s="14"/>
      <c r="N151" s="14"/>
      <c r="O151" s="14"/>
    </row>
    <row r="152" spans="1:15" ht="26.4" x14ac:dyDescent="0.3">
      <c r="A152" s="12" t="s">
        <v>719</v>
      </c>
      <c r="B152" s="13" t="s">
        <v>40</v>
      </c>
      <c r="C152" s="13" t="s">
        <v>716</v>
      </c>
      <c r="D152" s="13" t="s">
        <v>108</v>
      </c>
      <c r="E152" s="13" t="s">
        <v>179</v>
      </c>
      <c r="F152" s="13" t="s">
        <v>78</v>
      </c>
      <c r="G152" s="13" t="s">
        <v>69</v>
      </c>
      <c r="H152" s="13" t="s">
        <v>720</v>
      </c>
      <c r="I152" s="13" t="s">
        <v>721</v>
      </c>
      <c r="J152" s="13" t="s">
        <v>722</v>
      </c>
      <c r="K152" s="14"/>
      <c r="L152" s="14" t="s">
        <v>31</v>
      </c>
      <c r="M152" s="14"/>
      <c r="N152" s="14"/>
      <c r="O152" s="14"/>
    </row>
    <row r="153" spans="1:15" ht="52.8" x14ac:dyDescent="0.3">
      <c r="A153" s="12" t="s">
        <v>723</v>
      </c>
      <c r="B153" s="13" t="s">
        <v>40</v>
      </c>
      <c r="C153" s="13" t="s">
        <v>724</v>
      </c>
      <c r="D153" s="13" t="s">
        <v>108</v>
      </c>
      <c r="E153" s="13" t="s">
        <v>135</v>
      </c>
      <c r="F153" s="13" t="s">
        <v>68</v>
      </c>
      <c r="G153" s="13" t="s">
        <v>69</v>
      </c>
      <c r="H153" s="13" t="s">
        <v>66</v>
      </c>
      <c r="I153" s="13" t="s">
        <v>725</v>
      </c>
      <c r="J153" s="13" t="s">
        <v>726</v>
      </c>
      <c r="K153" s="14"/>
      <c r="L153" s="14" t="s">
        <v>31</v>
      </c>
      <c r="M153" s="14"/>
      <c r="N153" s="14"/>
      <c r="O153" s="14"/>
    </row>
    <row r="154" spans="1:15" ht="26.4" x14ac:dyDescent="0.3">
      <c r="A154" s="12" t="s">
        <v>727</v>
      </c>
      <c r="B154" s="13" t="s">
        <v>40</v>
      </c>
      <c r="C154" s="13" t="s">
        <v>724</v>
      </c>
      <c r="D154" s="13" t="s">
        <v>108</v>
      </c>
      <c r="E154" s="13" t="s">
        <v>135</v>
      </c>
      <c r="F154" s="13" t="s">
        <v>78</v>
      </c>
      <c r="G154" s="13" t="s">
        <v>69</v>
      </c>
      <c r="H154" s="13" t="s">
        <v>66</v>
      </c>
      <c r="I154" s="13" t="s">
        <v>728</v>
      </c>
      <c r="J154" s="13" t="s">
        <v>729</v>
      </c>
      <c r="K154" s="14"/>
      <c r="L154" s="14" t="s">
        <v>31</v>
      </c>
      <c r="M154" s="14"/>
      <c r="N154" s="14"/>
      <c r="O154" s="14"/>
    </row>
    <row r="155" spans="1:15" ht="26.4" x14ac:dyDescent="0.3">
      <c r="A155" s="12" t="s">
        <v>730</v>
      </c>
      <c r="B155" s="13" t="s">
        <v>40</v>
      </c>
      <c r="C155" s="13" t="s">
        <v>724</v>
      </c>
      <c r="D155" s="13" t="s">
        <v>108</v>
      </c>
      <c r="E155" s="13" t="s">
        <v>67</v>
      </c>
      <c r="F155" s="13" t="s">
        <v>98</v>
      </c>
      <c r="G155" s="13" t="s">
        <v>69</v>
      </c>
      <c r="H155" s="13" t="s">
        <v>66</v>
      </c>
      <c r="I155" s="13" t="s">
        <v>731</v>
      </c>
      <c r="J155" s="13" t="s">
        <v>732</v>
      </c>
      <c r="K155" s="14"/>
      <c r="L155" s="14" t="s">
        <v>31</v>
      </c>
      <c r="M155" s="14"/>
      <c r="N155" s="14"/>
      <c r="O155" s="14"/>
    </row>
    <row r="156" spans="1:15" ht="52.8" x14ac:dyDescent="0.3">
      <c r="A156" s="12" t="s">
        <v>733</v>
      </c>
      <c r="B156" s="13" t="s">
        <v>40</v>
      </c>
      <c r="C156" s="13" t="s">
        <v>734</v>
      </c>
      <c r="D156" s="13" t="s">
        <v>108</v>
      </c>
      <c r="E156" s="13" t="s">
        <v>67</v>
      </c>
      <c r="F156" s="13" t="s">
        <v>78</v>
      </c>
      <c r="G156" s="13" t="s">
        <v>69</v>
      </c>
      <c r="H156" s="13" t="s">
        <v>66</v>
      </c>
      <c r="I156" s="13" t="s">
        <v>735</v>
      </c>
      <c r="J156" s="13" t="s">
        <v>736</v>
      </c>
      <c r="K156" s="14"/>
      <c r="L156" s="14" t="s">
        <v>31</v>
      </c>
      <c r="M156" s="14"/>
      <c r="N156" s="14"/>
      <c r="O156" s="14"/>
    </row>
    <row r="157" spans="1:15" ht="66" x14ac:dyDescent="0.3">
      <c r="A157" s="12" t="s">
        <v>737</v>
      </c>
      <c r="B157" s="13" t="s">
        <v>40</v>
      </c>
      <c r="C157" s="13" t="s">
        <v>738</v>
      </c>
      <c r="D157" s="13" t="s">
        <v>108</v>
      </c>
      <c r="E157" s="13" t="s">
        <v>135</v>
      </c>
      <c r="F157" s="13" t="s">
        <v>78</v>
      </c>
      <c r="G157" s="13" t="s">
        <v>69</v>
      </c>
      <c r="H157" s="13" t="s">
        <v>66</v>
      </c>
      <c r="I157" s="13" t="s">
        <v>739</v>
      </c>
      <c r="J157" s="13" t="s">
        <v>740</v>
      </c>
      <c r="K157" s="14"/>
      <c r="L157" s="14" t="s">
        <v>31</v>
      </c>
      <c r="M157" s="14"/>
      <c r="N157" s="14"/>
      <c r="O157" s="14"/>
    </row>
    <row r="158" spans="1:15" ht="52.8" x14ac:dyDescent="0.3">
      <c r="A158" s="12" t="s">
        <v>741</v>
      </c>
      <c r="B158" s="13" t="s">
        <v>40</v>
      </c>
      <c r="C158" s="13" t="s">
        <v>742</v>
      </c>
      <c r="D158" s="13" t="s">
        <v>108</v>
      </c>
      <c r="E158" s="13" t="s">
        <v>135</v>
      </c>
      <c r="F158" s="13" t="s">
        <v>68</v>
      </c>
      <c r="G158" s="13" t="s">
        <v>69</v>
      </c>
      <c r="H158" s="13" t="s">
        <v>440</v>
      </c>
      <c r="I158" s="13" t="s">
        <v>743</v>
      </c>
      <c r="J158" s="13" t="s">
        <v>744</v>
      </c>
      <c r="K158" s="14"/>
      <c r="L158" s="14" t="s">
        <v>31</v>
      </c>
      <c r="M158" s="14"/>
      <c r="N158" s="14"/>
      <c r="O158" s="14"/>
    </row>
    <row r="159" spans="1:15" ht="52.8" x14ac:dyDescent="0.3">
      <c r="A159" s="12" t="s">
        <v>745</v>
      </c>
      <c r="B159" s="13" t="s">
        <v>40</v>
      </c>
      <c r="C159" s="13" t="s">
        <v>746</v>
      </c>
      <c r="D159" s="13" t="s">
        <v>108</v>
      </c>
      <c r="E159" s="13" t="s">
        <v>135</v>
      </c>
      <c r="F159" s="13" t="s">
        <v>68</v>
      </c>
      <c r="G159" s="13" t="s">
        <v>69</v>
      </c>
      <c r="H159" s="13" t="s">
        <v>440</v>
      </c>
      <c r="I159" s="13" t="s">
        <v>747</v>
      </c>
      <c r="J159" s="13" t="s">
        <v>748</v>
      </c>
      <c r="K159" s="14"/>
      <c r="L159" s="14" t="s">
        <v>31</v>
      </c>
      <c r="M159" s="14"/>
      <c r="N159" s="14"/>
      <c r="O159" s="14"/>
    </row>
    <row r="160" spans="1:15" ht="26.4" x14ac:dyDescent="0.3">
      <c r="A160" s="12" t="s">
        <v>749</v>
      </c>
      <c r="B160" s="13" t="s">
        <v>40</v>
      </c>
      <c r="C160" s="13" t="s">
        <v>746</v>
      </c>
      <c r="D160" s="13" t="s">
        <v>108</v>
      </c>
      <c r="E160" s="13" t="s">
        <v>179</v>
      </c>
      <c r="F160" s="13" t="s">
        <v>98</v>
      </c>
      <c r="G160" s="13" t="s">
        <v>69</v>
      </c>
      <c r="H160" s="13" t="s">
        <v>750</v>
      </c>
      <c r="I160" s="13" t="s">
        <v>751</v>
      </c>
      <c r="J160" s="13" t="s">
        <v>752</v>
      </c>
      <c r="K160" s="14"/>
      <c r="L160" s="14" t="s">
        <v>31</v>
      </c>
      <c r="M160" s="14"/>
      <c r="N160" s="14"/>
      <c r="O160" s="14"/>
    </row>
    <row r="161" spans="1:15" ht="26.4" x14ac:dyDescent="0.3">
      <c r="A161" s="12" t="s">
        <v>753</v>
      </c>
      <c r="B161" s="13" t="s">
        <v>40</v>
      </c>
      <c r="C161" s="13" t="s">
        <v>514</v>
      </c>
      <c r="D161" s="13" t="s">
        <v>108</v>
      </c>
      <c r="E161" s="13" t="s">
        <v>135</v>
      </c>
      <c r="F161" s="13" t="s">
        <v>78</v>
      </c>
      <c r="G161" s="13" t="s">
        <v>69</v>
      </c>
      <c r="H161" s="13" t="s">
        <v>754</v>
      </c>
      <c r="I161" s="13" t="s">
        <v>755</v>
      </c>
      <c r="J161" s="13" t="s">
        <v>756</v>
      </c>
      <c r="K161" s="14"/>
      <c r="L161" s="14" t="s">
        <v>31</v>
      </c>
      <c r="M161" s="14"/>
      <c r="N161" s="14"/>
      <c r="O161" s="14"/>
    </row>
    <row r="162" spans="1:15" ht="66" x14ac:dyDescent="0.3">
      <c r="A162" s="12" t="s">
        <v>757</v>
      </c>
      <c r="B162" s="13" t="s">
        <v>40</v>
      </c>
      <c r="C162" s="13" t="s">
        <v>758</v>
      </c>
      <c r="D162" s="13" t="s">
        <v>108</v>
      </c>
      <c r="E162" s="13" t="s">
        <v>135</v>
      </c>
      <c r="F162" s="13" t="s">
        <v>68</v>
      </c>
      <c r="G162" s="13" t="s">
        <v>69</v>
      </c>
      <c r="H162" s="13" t="s">
        <v>759</v>
      </c>
      <c r="I162" s="13" t="s">
        <v>760</v>
      </c>
      <c r="J162" s="13" t="s">
        <v>761</v>
      </c>
      <c r="K162" s="14"/>
      <c r="L162" s="14" t="s">
        <v>31</v>
      </c>
      <c r="M162" s="14"/>
      <c r="N162" s="14"/>
      <c r="O162" s="14"/>
    </row>
    <row r="163" spans="1:15" ht="79.2" x14ac:dyDescent="0.3">
      <c r="A163" s="12" t="s">
        <v>762</v>
      </c>
      <c r="B163" s="13" t="s">
        <v>40</v>
      </c>
      <c r="C163" s="13" t="s">
        <v>763</v>
      </c>
      <c r="D163" s="13" t="s">
        <v>108</v>
      </c>
      <c r="E163" s="13" t="s">
        <v>135</v>
      </c>
      <c r="F163" s="13" t="s">
        <v>68</v>
      </c>
      <c r="G163" s="13" t="s">
        <v>69</v>
      </c>
      <c r="H163" s="13" t="s">
        <v>764</v>
      </c>
      <c r="I163" s="13" t="s">
        <v>765</v>
      </c>
      <c r="J163" s="13" t="s">
        <v>766</v>
      </c>
      <c r="K163" s="14"/>
      <c r="L163" s="14" t="s">
        <v>31</v>
      </c>
      <c r="M163" s="14"/>
      <c r="N163" s="14"/>
      <c r="O163" s="14"/>
    </row>
    <row r="164" spans="1:15" ht="92.4" x14ac:dyDescent="0.3">
      <c r="A164" s="12" t="s">
        <v>767</v>
      </c>
      <c r="B164" s="13" t="s">
        <v>40</v>
      </c>
      <c r="C164" s="13" t="s">
        <v>768</v>
      </c>
      <c r="D164" s="13" t="s">
        <v>108</v>
      </c>
      <c r="E164" s="13" t="s">
        <v>135</v>
      </c>
      <c r="F164" s="13" t="s">
        <v>68</v>
      </c>
      <c r="G164" s="13" t="s">
        <v>69</v>
      </c>
      <c r="H164" s="13" t="s">
        <v>769</v>
      </c>
      <c r="I164" s="13" t="s">
        <v>770</v>
      </c>
      <c r="J164" s="13" t="s">
        <v>771</v>
      </c>
      <c r="K164" s="14"/>
      <c r="L164" s="14" t="s">
        <v>31</v>
      </c>
      <c r="M164" s="14"/>
      <c r="N164" s="14"/>
      <c r="O164" s="14"/>
    </row>
    <row r="165" spans="1:15" ht="66" x14ac:dyDescent="0.3">
      <c r="A165" s="12" t="s">
        <v>772</v>
      </c>
      <c r="B165" s="13" t="s">
        <v>40</v>
      </c>
      <c r="C165" s="13" t="s">
        <v>773</v>
      </c>
      <c r="D165" s="13" t="s">
        <v>108</v>
      </c>
      <c r="E165" s="13" t="s">
        <v>135</v>
      </c>
      <c r="F165" s="13" t="s">
        <v>68</v>
      </c>
      <c r="G165" s="13" t="s">
        <v>69</v>
      </c>
      <c r="H165" s="13" t="s">
        <v>774</v>
      </c>
      <c r="I165" s="13" t="s">
        <v>775</v>
      </c>
      <c r="J165" s="13" t="s">
        <v>776</v>
      </c>
      <c r="K165" s="14"/>
      <c r="L165" s="14" t="s">
        <v>31</v>
      </c>
      <c r="M165" s="14"/>
      <c r="N165" s="14"/>
      <c r="O165" s="14"/>
    </row>
    <row r="166" spans="1:15" ht="26.4" x14ac:dyDescent="0.3">
      <c r="A166" s="12" t="s">
        <v>777</v>
      </c>
      <c r="B166" s="13" t="s">
        <v>40</v>
      </c>
      <c r="C166" s="13" t="s">
        <v>778</v>
      </c>
      <c r="D166" s="13" t="s">
        <v>108</v>
      </c>
      <c r="E166" s="13" t="s">
        <v>135</v>
      </c>
      <c r="F166" s="13" t="s">
        <v>78</v>
      </c>
      <c r="G166" s="13" t="s">
        <v>69</v>
      </c>
      <c r="H166" s="13" t="s">
        <v>779</v>
      </c>
      <c r="I166" s="13" t="s">
        <v>780</v>
      </c>
      <c r="J166" s="13" t="s">
        <v>781</v>
      </c>
      <c r="K166" s="14"/>
      <c r="L166" s="14" t="s">
        <v>31</v>
      </c>
      <c r="M166" s="14"/>
      <c r="N166" s="14"/>
      <c r="O166" s="14"/>
    </row>
    <row r="167" spans="1:15" ht="26.4" x14ac:dyDescent="0.3">
      <c r="A167" s="12" t="s">
        <v>782</v>
      </c>
      <c r="B167" s="13" t="s">
        <v>40</v>
      </c>
      <c r="C167" s="13" t="s">
        <v>778</v>
      </c>
      <c r="D167" s="13" t="s">
        <v>108</v>
      </c>
      <c r="E167" s="13" t="s">
        <v>179</v>
      </c>
      <c r="F167" s="13" t="s">
        <v>78</v>
      </c>
      <c r="G167" s="13" t="s">
        <v>69</v>
      </c>
      <c r="H167" s="13" t="s">
        <v>779</v>
      </c>
      <c r="I167" s="13" t="s">
        <v>783</v>
      </c>
      <c r="J167" s="13" t="s">
        <v>781</v>
      </c>
      <c r="K167" s="14"/>
      <c r="L167" s="14" t="s">
        <v>31</v>
      </c>
      <c r="M167" s="14"/>
      <c r="N167" s="14"/>
      <c r="O167" s="14"/>
    </row>
    <row r="168" spans="1:15" ht="26.4" x14ac:dyDescent="0.3">
      <c r="A168" s="12" t="s">
        <v>784</v>
      </c>
      <c r="B168" s="13" t="s">
        <v>40</v>
      </c>
      <c r="C168" s="13" t="s">
        <v>785</v>
      </c>
      <c r="D168" s="13" t="s">
        <v>108</v>
      </c>
      <c r="E168" s="13" t="s">
        <v>179</v>
      </c>
      <c r="F168" s="13" t="s">
        <v>78</v>
      </c>
      <c r="G168" s="13" t="s">
        <v>69</v>
      </c>
      <c r="H168" s="13" t="s">
        <v>786</v>
      </c>
      <c r="I168" s="13" t="s">
        <v>787</v>
      </c>
      <c r="J168" s="13" t="s">
        <v>788</v>
      </c>
      <c r="K168" s="14"/>
      <c r="L168" s="14" t="s">
        <v>31</v>
      </c>
      <c r="M168" s="14"/>
      <c r="N168" s="14"/>
      <c r="O168" s="14"/>
    </row>
    <row r="169" spans="1:15" ht="52.8" x14ac:dyDescent="0.3">
      <c r="A169" s="12" t="s">
        <v>789</v>
      </c>
      <c r="B169" s="13" t="s">
        <v>40</v>
      </c>
      <c r="C169" s="13" t="s">
        <v>790</v>
      </c>
      <c r="D169" s="13" t="s">
        <v>384</v>
      </c>
      <c r="E169" s="13" t="s">
        <v>135</v>
      </c>
      <c r="F169" s="13" t="s">
        <v>68</v>
      </c>
      <c r="G169" s="13" t="s">
        <v>69</v>
      </c>
      <c r="H169" s="13" t="s">
        <v>791</v>
      </c>
      <c r="I169" s="13" t="s">
        <v>792</v>
      </c>
      <c r="J169" s="13" t="s">
        <v>793</v>
      </c>
      <c r="K169" s="14"/>
      <c r="L169" s="14" t="s">
        <v>31</v>
      </c>
      <c r="M169" s="14"/>
      <c r="N169" s="14"/>
      <c r="O169" s="14"/>
    </row>
    <row r="170" spans="1:15" ht="26.4" x14ac:dyDescent="0.3">
      <c r="A170" s="12" t="s">
        <v>794</v>
      </c>
      <c r="B170" s="13" t="s">
        <v>40</v>
      </c>
      <c r="C170" s="13" t="s">
        <v>795</v>
      </c>
      <c r="D170" s="13" t="s">
        <v>108</v>
      </c>
      <c r="E170" s="13" t="s">
        <v>97</v>
      </c>
      <c r="F170" s="13" t="s">
        <v>78</v>
      </c>
      <c r="G170" s="13" t="s">
        <v>69</v>
      </c>
      <c r="H170" s="13" t="s">
        <v>796</v>
      </c>
      <c r="I170" s="13" t="s">
        <v>797</v>
      </c>
      <c r="J170" s="13" t="s">
        <v>798</v>
      </c>
      <c r="K170" s="14"/>
      <c r="L170" s="14" t="s">
        <v>31</v>
      </c>
      <c r="M170" s="14"/>
      <c r="N170" s="14"/>
      <c r="O170" s="14"/>
    </row>
    <row r="171" spans="1:15" x14ac:dyDescent="0.3">
      <c r="A171" s="12" t="s">
        <v>799</v>
      </c>
      <c r="B171" s="13" t="s">
        <v>40</v>
      </c>
      <c r="C171" s="13" t="s">
        <v>758</v>
      </c>
      <c r="D171" s="13" t="s">
        <v>108</v>
      </c>
      <c r="E171" s="13" t="s">
        <v>135</v>
      </c>
      <c r="F171" s="13" t="s">
        <v>98</v>
      </c>
      <c r="G171" s="13" t="s">
        <v>69</v>
      </c>
      <c r="H171" s="13" t="s">
        <v>779</v>
      </c>
      <c r="I171" s="13" t="s">
        <v>800</v>
      </c>
      <c r="J171" s="13" t="s">
        <v>801</v>
      </c>
      <c r="K171" s="14"/>
      <c r="L171" s="14" t="s">
        <v>31</v>
      </c>
      <c r="M171" s="14"/>
      <c r="N171" s="14"/>
      <c r="O171" s="14"/>
    </row>
    <row r="172" spans="1:15" ht="66" x14ac:dyDescent="0.3">
      <c r="A172" s="12" t="s">
        <v>802</v>
      </c>
      <c r="B172" s="13" t="s">
        <v>40</v>
      </c>
      <c r="C172" s="13" t="s">
        <v>803</v>
      </c>
      <c r="D172" s="13" t="s">
        <v>108</v>
      </c>
      <c r="E172" s="13" t="s">
        <v>135</v>
      </c>
      <c r="F172" s="13" t="s">
        <v>68</v>
      </c>
      <c r="G172" s="13" t="s">
        <v>69</v>
      </c>
      <c r="H172" s="13" t="s">
        <v>804</v>
      </c>
      <c r="I172" s="13" t="s">
        <v>805</v>
      </c>
      <c r="J172" s="13" t="s">
        <v>806</v>
      </c>
      <c r="K172" s="14"/>
      <c r="L172" s="14" t="s">
        <v>31</v>
      </c>
      <c r="M172" s="14"/>
      <c r="N172" s="14"/>
      <c r="O172" s="14"/>
    </row>
    <row r="173" spans="1:15" ht="26.4" x14ac:dyDescent="0.3">
      <c r="A173" s="12" t="s">
        <v>807</v>
      </c>
      <c r="B173" s="13" t="s">
        <v>40</v>
      </c>
      <c r="C173" s="13" t="s">
        <v>803</v>
      </c>
      <c r="D173" s="13" t="s">
        <v>108</v>
      </c>
      <c r="E173" s="13" t="s">
        <v>97</v>
      </c>
      <c r="F173" s="13" t="s">
        <v>78</v>
      </c>
      <c r="G173" s="13" t="s">
        <v>69</v>
      </c>
      <c r="H173" s="13" t="s">
        <v>796</v>
      </c>
      <c r="I173" s="13" t="s">
        <v>808</v>
      </c>
      <c r="J173" s="13" t="s">
        <v>809</v>
      </c>
      <c r="K173" s="14"/>
      <c r="L173" s="14" t="s">
        <v>31</v>
      </c>
      <c r="M173" s="14"/>
      <c r="N173" s="14"/>
      <c r="O173" s="14"/>
    </row>
    <row r="174" spans="1:15" ht="52.8" x14ac:dyDescent="0.3">
      <c r="A174" s="12" t="s">
        <v>810</v>
      </c>
      <c r="B174" s="13" t="s">
        <v>40</v>
      </c>
      <c r="C174" s="13" t="s">
        <v>811</v>
      </c>
      <c r="D174" s="13" t="s">
        <v>108</v>
      </c>
      <c r="E174" s="13" t="s">
        <v>135</v>
      </c>
      <c r="F174" s="13" t="s">
        <v>68</v>
      </c>
      <c r="G174" s="13" t="s">
        <v>69</v>
      </c>
      <c r="H174" s="13" t="s">
        <v>812</v>
      </c>
      <c r="I174" s="13" t="s">
        <v>813</v>
      </c>
      <c r="J174" s="13" t="s">
        <v>814</v>
      </c>
      <c r="K174" s="14"/>
      <c r="L174" s="14" t="s">
        <v>31</v>
      </c>
      <c r="M174" s="14"/>
      <c r="N174" s="14"/>
      <c r="O174" s="14"/>
    </row>
    <row r="175" spans="1:15" ht="39.6" x14ac:dyDescent="0.3">
      <c r="A175" s="12" t="s">
        <v>815</v>
      </c>
      <c r="B175" s="13" t="s">
        <v>40</v>
      </c>
      <c r="C175" s="13" t="s">
        <v>816</v>
      </c>
      <c r="D175" s="13" t="s">
        <v>108</v>
      </c>
      <c r="E175" s="13" t="s">
        <v>67</v>
      </c>
      <c r="F175" s="13" t="s">
        <v>68</v>
      </c>
      <c r="G175" s="13" t="s">
        <v>69</v>
      </c>
      <c r="H175" s="13" t="s">
        <v>817</v>
      </c>
      <c r="I175" s="13" t="s">
        <v>818</v>
      </c>
      <c r="J175" s="13" t="s">
        <v>819</v>
      </c>
      <c r="K175" s="14"/>
      <c r="L175" s="14" t="s">
        <v>31</v>
      </c>
      <c r="M175" s="14"/>
      <c r="N175" s="14"/>
      <c r="O175" s="14"/>
    </row>
    <row r="176" spans="1:15" ht="39.6" x14ac:dyDescent="0.3">
      <c r="A176" s="12" t="s">
        <v>820</v>
      </c>
      <c r="B176" s="13" t="s">
        <v>40</v>
      </c>
      <c r="C176" s="13" t="s">
        <v>821</v>
      </c>
      <c r="D176" s="13" t="s">
        <v>108</v>
      </c>
      <c r="E176" s="13" t="s">
        <v>67</v>
      </c>
      <c r="F176" s="13" t="s">
        <v>68</v>
      </c>
      <c r="G176" s="13" t="s">
        <v>69</v>
      </c>
      <c r="H176" s="13" t="s">
        <v>822</v>
      </c>
      <c r="I176" s="13" t="s">
        <v>823</v>
      </c>
      <c r="J176" s="13" t="s">
        <v>824</v>
      </c>
      <c r="K176" s="14"/>
      <c r="L176" s="14" t="s">
        <v>31</v>
      </c>
      <c r="M176" s="14"/>
      <c r="N176" s="14"/>
      <c r="O176" s="14"/>
    </row>
    <row r="177" spans="1:15" ht="39.6" x14ac:dyDescent="0.3">
      <c r="A177" s="12" t="s">
        <v>825</v>
      </c>
      <c r="B177" s="13" t="s">
        <v>40</v>
      </c>
      <c r="C177" s="13" t="s">
        <v>826</v>
      </c>
      <c r="D177" s="13" t="s">
        <v>108</v>
      </c>
      <c r="E177" s="13" t="s">
        <v>67</v>
      </c>
      <c r="F177" s="13" t="s">
        <v>68</v>
      </c>
      <c r="G177" s="13" t="s">
        <v>69</v>
      </c>
      <c r="H177" s="13" t="s">
        <v>827</v>
      </c>
      <c r="I177" s="13" t="s">
        <v>828</v>
      </c>
      <c r="J177" s="13" t="s">
        <v>829</v>
      </c>
      <c r="K177" s="14"/>
      <c r="L177" s="14" t="s">
        <v>31</v>
      </c>
      <c r="M177" s="14"/>
      <c r="N177" s="14"/>
      <c r="O177" s="14"/>
    </row>
    <row r="178" spans="1:15" ht="39.6" x14ac:dyDescent="0.3">
      <c r="A178" s="12" t="s">
        <v>830</v>
      </c>
      <c r="B178" s="13" t="s">
        <v>40</v>
      </c>
      <c r="C178" s="13" t="s">
        <v>831</v>
      </c>
      <c r="D178" s="13" t="s">
        <v>108</v>
      </c>
      <c r="E178" s="13" t="s">
        <v>135</v>
      </c>
      <c r="F178" s="13" t="s">
        <v>68</v>
      </c>
      <c r="G178" s="13" t="s">
        <v>69</v>
      </c>
      <c r="H178" s="13" t="s">
        <v>832</v>
      </c>
      <c r="I178" s="13" t="s">
        <v>833</v>
      </c>
      <c r="J178" s="13" t="s">
        <v>834</v>
      </c>
      <c r="K178" s="14"/>
      <c r="L178" s="14" t="s">
        <v>31</v>
      </c>
      <c r="M178" s="14"/>
      <c r="N178" s="14"/>
      <c r="O178" s="14"/>
    </row>
    <row r="179" spans="1:15" ht="39.6" x14ac:dyDescent="0.3">
      <c r="A179" s="12" t="s">
        <v>835</v>
      </c>
      <c r="B179" s="13" t="s">
        <v>40</v>
      </c>
      <c r="C179" s="13" t="s">
        <v>836</v>
      </c>
      <c r="D179" s="13" t="s">
        <v>108</v>
      </c>
      <c r="E179" s="13" t="s">
        <v>135</v>
      </c>
      <c r="F179" s="13" t="s">
        <v>78</v>
      </c>
      <c r="G179" s="13" t="s">
        <v>628</v>
      </c>
      <c r="H179" s="13" t="s">
        <v>837</v>
      </c>
      <c r="I179" s="13" t="s">
        <v>838</v>
      </c>
      <c r="J179" s="13" t="s">
        <v>839</v>
      </c>
      <c r="K179" s="14"/>
      <c r="L179" s="14" t="s">
        <v>31</v>
      </c>
      <c r="M179" s="14"/>
      <c r="N179" s="14"/>
      <c r="O179" s="14"/>
    </row>
    <row r="180" spans="1:15" ht="26.4" x14ac:dyDescent="0.3">
      <c r="A180" s="12" t="s">
        <v>840</v>
      </c>
      <c r="B180" s="13" t="s">
        <v>40</v>
      </c>
      <c r="C180" s="13" t="s">
        <v>397</v>
      </c>
      <c r="D180" s="13" t="s">
        <v>108</v>
      </c>
      <c r="E180" s="13" t="s">
        <v>135</v>
      </c>
      <c r="F180" s="13" t="s">
        <v>78</v>
      </c>
      <c r="G180" s="13" t="s">
        <v>69</v>
      </c>
      <c r="H180" s="13" t="s">
        <v>841</v>
      </c>
      <c r="I180" s="13" t="s">
        <v>842</v>
      </c>
      <c r="J180" s="13" t="s">
        <v>843</v>
      </c>
      <c r="K180" s="14"/>
      <c r="L180" s="14" t="s">
        <v>31</v>
      </c>
      <c r="M180" s="14"/>
      <c r="N180" s="14"/>
      <c r="O180" s="14"/>
    </row>
    <row r="181" spans="1:15" ht="39.6" x14ac:dyDescent="0.3">
      <c r="A181" s="12" t="s">
        <v>844</v>
      </c>
      <c r="B181" s="13" t="s">
        <v>40</v>
      </c>
      <c r="C181" s="13" t="s">
        <v>341</v>
      </c>
      <c r="D181" s="13" t="s">
        <v>108</v>
      </c>
      <c r="E181" s="13" t="s">
        <v>97</v>
      </c>
      <c r="F181" s="13" t="s">
        <v>78</v>
      </c>
      <c r="G181" s="13" t="s">
        <v>69</v>
      </c>
      <c r="H181" s="13" t="s">
        <v>754</v>
      </c>
      <c r="I181" s="13" t="s">
        <v>845</v>
      </c>
      <c r="J181" s="13" t="s">
        <v>846</v>
      </c>
      <c r="K181" s="14"/>
      <c r="L181" s="14" t="s">
        <v>31</v>
      </c>
      <c r="M181" s="14"/>
      <c r="N181" s="14"/>
      <c r="O181" s="14"/>
    </row>
    <row r="182" spans="1:15" ht="26.4" x14ac:dyDescent="0.3">
      <c r="A182" s="12" t="s">
        <v>847</v>
      </c>
      <c r="B182" s="13" t="s">
        <v>40</v>
      </c>
      <c r="C182" s="13" t="s">
        <v>345</v>
      </c>
      <c r="D182" s="13" t="s">
        <v>346</v>
      </c>
      <c r="E182" s="13" t="s">
        <v>135</v>
      </c>
      <c r="F182" s="13" t="s">
        <v>98</v>
      </c>
      <c r="G182" s="13" t="s">
        <v>69</v>
      </c>
      <c r="H182" s="13" t="s">
        <v>848</v>
      </c>
      <c r="I182" s="13" t="s">
        <v>849</v>
      </c>
      <c r="J182" s="13" t="s">
        <v>850</v>
      </c>
      <c r="K182" s="14"/>
      <c r="L182" s="14" t="s">
        <v>31</v>
      </c>
      <c r="M182" s="14"/>
      <c r="N182" s="14"/>
      <c r="O182" s="14"/>
    </row>
    <row r="183" spans="1:15" ht="39.6" x14ac:dyDescent="0.3">
      <c r="A183" s="12" t="s">
        <v>851</v>
      </c>
      <c r="B183" s="13" t="s">
        <v>41</v>
      </c>
      <c r="C183" s="13" t="s">
        <v>184</v>
      </c>
      <c r="D183" s="13" t="s">
        <v>108</v>
      </c>
      <c r="E183" s="13" t="s">
        <v>135</v>
      </c>
      <c r="F183" s="13" t="s">
        <v>68</v>
      </c>
      <c r="G183" s="13" t="s">
        <v>69</v>
      </c>
      <c r="H183" s="13" t="s">
        <v>440</v>
      </c>
      <c r="I183" s="13" t="s">
        <v>852</v>
      </c>
      <c r="J183" s="13" t="s">
        <v>853</v>
      </c>
      <c r="K183" s="14"/>
      <c r="L183" s="14" t="s">
        <v>31</v>
      </c>
      <c r="M183" s="14"/>
      <c r="N183" s="14"/>
      <c r="O183" s="14"/>
    </row>
    <row r="184" spans="1:15" ht="26.4" x14ac:dyDescent="0.3">
      <c r="A184" s="12" t="s">
        <v>854</v>
      </c>
      <c r="B184" s="13" t="s">
        <v>41</v>
      </c>
      <c r="C184" s="13" t="s">
        <v>855</v>
      </c>
      <c r="D184" s="13" t="s">
        <v>108</v>
      </c>
      <c r="E184" s="13" t="s">
        <v>67</v>
      </c>
      <c r="F184" s="13" t="s">
        <v>78</v>
      </c>
      <c r="G184" s="13" t="s">
        <v>69</v>
      </c>
      <c r="H184" s="13" t="s">
        <v>66</v>
      </c>
      <c r="I184" s="13" t="s">
        <v>856</v>
      </c>
      <c r="J184" s="13" t="s">
        <v>857</v>
      </c>
      <c r="K184" s="14"/>
      <c r="L184" s="14" t="s">
        <v>31</v>
      </c>
      <c r="M184" s="14"/>
      <c r="N184" s="14"/>
      <c r="O184" s="14"/>
    </row>
    <row r="185" spans="1:15" ht="66" x14ac:dyDescent="0.3">
      <c r="A185" s="12" t="s">
        <v>858</v>
      </c>
      <c r="B185" s="13" t="s">
        <v>41</v>
      </c>
      <c r="C185" s="13" t="s">
        <v>859</v>
      </c>
      <c r="D185" s="13" t="s">
        <v>108</v>
      </c>
      <c r="E185" s="13" t="s">
        <v>135</v>
      </c>
      <c r="F185" s="13" t="s">
        <v>68</v>
      </c>
      <c r="G185" s="13" t="s">
        <v>69</v>
      </c>
      <c r="H185" s="13" t="s">
        <v>860</v>
      </c>
      <c r="I185" s="13" t="s">
        <v>861</v>
      </c>
      <c r="J185" s="13" t="s">
        <v>862</v>
      </c>
      <c r="K185" s="14"/>
      <c r="L185" s="14" t="s">
        <v>31</v>
      </c>
      <c r="M185" s="14"/>
      <c r="N185" s="14"/>
      <c r="O185" s="14"/>
    </row>
    <row r="186" spans="1:15" ht="26.4" x14ac:dyDescent="0.3">
      <c r="A186" s="12" t="s">
        <v>863</v>
      </c>
      <c r="B186" s="13" t="s">
        <v>41</v>
      </c>
      <c r="C186" s="13" t="s">
        <v>864</v>
      </c>
      <c r="D186" s="13" t="s">
        <v>108</v>
      </c>
      <c r="E186" s="13" t="s">
        <v>135</v>
      </c>
      <c r="F186" s="13" t="s">
        <v>78</v>
      </c>
      <c r="G186" s="13" t="s">
        <v>69</v>
      </c>
      <c r="H186" s="13" t="s">
        <v>860</v>
      </c>
      <c r="I186" s="13" t="s">
        <v>865</v>
      </c>
      <c r="J186" s="13" t="s">
        <v>866</v>
      </c>
      <c r="K186" s="14"/>
      <c r="L186" s="14" t="s">
        <v>31</v>
      </c>
      <c r="M186" s="14"/>
      <c r="N186" s="14"/>
      <c r="O186" s="14"/>
    </row>
    <row r="187" spans="1:15" ht="26.4" x14ac:dyDescent="0.3">
      <c r="A187" s="12" t="s">
        <v>867</v>
      </c>
      <c r="B187" s="13" t="s">
        <v>41</v>
      </c>
      <c r="C187" s="13" t="s">
        <v>868</v>
      </c>
      <c r="D187" s="13" t="s">
        <v>108</v>
      </c>
      <c r="E187" s="13" t="s">
        <v>135</v>
      </c>
      <c r="F187" s="13" t="s">
        <v>78</v>
      </c>
      <c r="G187" s="13" t="s">
        <v>69</v>
      </c>
      <c r="H187" s="13" t="s">
        <v>860</v>
      </c>
      <c r="I187" s="13" t="s">
        <v>869</v>
      </c>
      <c r="J187" s="13" t="s">
        <v>870</v>
      </c>
      <c r="K187" s="14"/>
      <c r="L187" s="14" t="s">
        <v>31</v>
      </c>
      <c r="M187" s="14"/>
      <c r="N187" s="14"/>
      <c r="O187" s="14"/>
    </row>
    <row r="188" spans="1:15" ht="39.6" x14ac:dyDescent="0.3">
      <c r="A188" s="12" t="s">
        <v>871</v>
      </c>
      <c r="B188" s="13" t="s">
        <v>41</v>
      </c>
      <c r="C188" s="13" t="s">
        <v>872</v>
      </c>
      <c r="D188" s="13" t="s">
        <v>108</v>
      </c>
      <c r="E188" s="13" t="s">
        <v>135</v>
      </c>
      <c r="F188" s="13" t="s">
        <v>78</v>
      </c>
      <c r="G188" s="13" t="s">
        <v>69</v>
      </c>
      <c r="H188" s="13" t="s">
        <v>873</v>
      </c>
      <c r="I188" s="13" t="s">
        <v>874</v>
      </c>
      <c r="J188" s="13" t="s">
        <v>875</v>
      </c>
      <c r="K188" s="14"/>
      <c r="L188" s="14" t="s">
        <v>31</v>
      </c>
      <c r="M188" s="14"/>
      <c r="N188" s="14"/>
      <c r="O188" s="14"/>
    </row>
    <row r="189" spans="1:15" ht="39.6" x14ac:dyDescent="0.3">
      <c r="A189" s="12" t="s">
        <v>876</v>
      </c>
      <c r="B189" s="13" t="s">
        <v>41</v>
      </c>
      <c r="C189" s="13" t="s">
        <v>877</v>
      </c>
      <c r="D189" s="13" t="s">
        <v>108</v>
      </c>
      <c r="E189" s="13" t="s">
        <v>135</v>
      </c>
      <c r="F189" s="13" t="s">
        <v>68</v>
      </c>
      <c r="G189" s="13" t="s">
        <v>69</v>
      </c>
      <c r="H189" s="13" t="s">
        <v>860</v>
      </c>
      <c r="I189" s="13" t="s">
        <v>878</v>
      </c>
      <c r="J189" s="13" t="s">
        <v>879</v>
      </c>
      <c r="K189" s="14"/>
      <c r="L189" s="14" t="s">
        <v>31</v>
      </c>
      <c r="M189" s="14"/>
      <c r="N189" s="14"/>
      <c r="O189" s="14"/>
    </row>
    <row r="190" spans="1:15" ht="52.8" x14ac:dyDescent="0.3">
      <c r="A190" s="12" t="s">
        <v>880</v>
      </c>
      <c r="B190" s="13" t="s">
        <v>41</v>
      </c>
      <c r="C190" s="13" t="s">
        <v>881</v>
      </c>
      <c r="D190" s="13" t="s">
        <v>108</v>
      </c>
      <c r="E190" s="13" t="s">
        <v>135</v>
      </c>
      <c r="F190" s="13" t="s">
        <v>68</v>
      </c>
      <c r="G190" s="13" t="s">
        <v>69</v>
      </c>
      <c r="H190" s="13" t="s">
        <v>860</v>
      </c>
      <c r="I190" s="13" t="s">
        <v>882</v>
      </c>
      <c r="J190" s="13" t="s">
        <v>883</v>
      </c>
      <c r="K190" s="14"/>
      <c r="L190" s="14" t="s">
        <v>31</v>
      </c>
      <c r="M190" s="14"/>
      <c r="N190" s="14"/>
      <c r="O190" s="14"/>
    </row>
    <row r="191" spans="1:15" ht="26.4" x14ac:dyDescent="0.3">
      <c r="A191" s="12" t="s">
        <v>884</v>
      </c>
      <c r="B191" s="13" t="s">
        <v>41</v>
      </c>
      <c r="C191" s="13" t="s">
        <v>885</v>
      </c>
      <c r="D191" s="13" t="s">
        <v>108</v>
      </c>
      <c r="E191" s="13" t="s">
        <v>135</v>
      </c>
      <c r="F191" s="13" t="s">
        <v>78</v>
      </c>
      <c r="G191" s="13" t="s">
        <v>69</v>
      </c>
      <c r="H191" s="13" t="s">
        <v>860</v>
      </c>
      <c r="I191" s="13" t="s">
        <v>886</v>
      </c>
      <c r="J191" s="13" t="s">
        <v>887</v>
      </c>
      <c r="K191" s="14"/>
      <c r="L191" s="14" t="s">
        <v>31</v>
      </c>
      <c r="M191" s="14"/>
      <c r="N191" s="14"/>
      <c r="O191" s="14"/>
    </row>
    <row r="192" spans="1:15" ht="26.4" x14ac:dyDescent="0.3">
      <c r="A192" s="12" t="s">
        <v>888</v>
      </c>
      <c r="B192" s="13" t="s">
        <v>41</v>
      </c>
      <c r="C192" s="13" t="s">
        <v>889</v>
      </c>
      <c r="D192" s="13" t="s">
        <v>108</v>
      </c>
      <c r="E192" s="13" t="s">
        <v>135</v>
      </c>
      <c r="F192" s="13" t="s">
        <v>78</v>
      </c>
      <c r="G192" s="13" t="s">
        <v>69</v>
      </c>
      <c r="H192" s="13" t="s">
        <v>860</v>
      </c>
      <c r="I192" s="13" t="s">
        <v>890</v>
      </c>
      <c r="J192" s="13" t="s">
        <v>891</v>
      </c>
      <c r="K192" s="14"/>
      <c r="L192" s="14" t="s">
        <v>31</v>
      </c>
      <c r="M192" s="14"/>
      <c r="N192" s="14"/>
      <c r="O192" s="14"/>
    </row>
    <row r="193" spans="1:15" ht="39.6" x14ac:dyDescent="0.3">
      <c r="A193" s="12" t="s">
        <v>892</v>
      </c>
      <c r="B193" s="13" t="s">
        <v>41</v>
      </c>
      <c r="C193" s="13" t="s">
        <v>893</v>
      </c>
      <c r="D193" s="13" t="s">
        <v>108</v>
      </c>
      <c r="E193" s="13" t="s">
        <v>135</v>
      </c>
      <c r="F193" s="13" t="s">
        <v>68</v>
      </c>
      <c r="G193" s="13" t="s">
        <v>69</v>
      </c>
      <c r="H193" s="13" t="s">
        <v>894</v>
      </c>
      <c r="I193" s="13" t="s">
        <v>895</v>
      </c>
      <c r="J193" s="13" t="s">
        <v>896</v>
      </c>
      <c r="K193" s="14"/>
      <c r="L193" s="14" t="s">
        <v>31</v>
      </c>
      <c r="M193" s="14"/>
      <c r="N193" s="14"/>
      <c r="O193" s="14"/>
    </row>
    <row r="194" spans="1:15" ht="26.4" x14ac:dyDescent="0.3">
      <c r="A194" s="12" t="s">
        <v>897</v>
      </c>
      <c r="B194" s="13" t="s">
        <v>41</v>
      </c>
      <c r="C194" s="13" t="s">
        <v>898</v>
      </c>
      <c r="D194" s="13" t="s">
        <v>108</v>
      </c>
      <c r="E194" s="13" t="s">
        <v>135</v>
      </c>
      <c r="F194" s="13" t="s">
        <v>78</v>
      </c>
      <c r="G194" s="13" t="s">
        <v>69</v>
      </c>
      <c r="H194" s="13" t="s">
        <v>899</v>
      </c>
      <c r="I194" s="13" t="s">
        <v>900</v>
      </c>
      <c r="J194" s="13" t="s">
        <v>901</v>
      </c>
      <c r="K194" s="14"/>
      <c r="L194" s="14" t="s">
        <v>31</v>
      </c>
      <c r="M194" s="14"/>
      <c r="N194" s="14"/>
      <c r="O194" s="14"/>
    </row>
    <row r="195" spans="1:15" ht="26.4" x14ac:dyDescent="0.3">
      <c r="A195" s="12" t="s">
        <v>902</v>
      </c>
      <c r="B195" s="13" t="s">
        <v>41</v>
      </c>
      <c r="C195" s="13" t="s">
        <v>903</v>
      </c>
      <c r="D195" s="13" t="s">
        <v>108</v>
      </c>
      <c r="E195" s="13" t="s">
        <v>135</v>
      </c>
      <c r="F195" s="13" t="s">
        <v>78</v>
      </c>
      <c r="G195" s="13" t="s">
        <v>69</v>
      </c>
      <c r="H195" s="13" t="s">
        <v>860</v>
      </c>
      <c r="I195" s="13" t="s">
        <v>904</v>
      </c>
      <c r="J195" s="13" t="s">
        <v>905</v>
      </c>
      <c r="K195" s="14"/>
      <c r="L195" s="14" t="s">
        <v>31</v>
      </c>
      <c r="M195" s="14"/>
      <c r="N195" s="14"/>
      <c r="O195" s="14"/>
    </row>
    <row r="196" spans="1:15" ht="26.4" x14ac:dyDescent="0.3">
      <c r="A196" s="12" t="s">
        <v>906</v>
      </c>
      <c r="B196" s="13" t="s">
        <v>41</v>
      </c>
      <c r="C196" s="13" t="s">
        <v>907</v>
      </c>
      <c r="D196" s="13" t="s">
        <v>108</v>
      </c>
      <c r="E196" s="13" t="s">
        <v>135</v>
      </c>
      <c r="F196" s="13" t="s">
        <v>78</v>
      </c>
      <c r="G196" s="13" t="s">
        <v>69</v>
      </c>
      <c r="H196" s="13" t="s">
        <v>860</v>
      </c>
      <c r="I196" s="13" t="s">
        <v>908</v>
      </c>
      <c r="J196" s="13" t="s">
        <v>909</v>
      </c>
      <c r="K196" s="14"/>
      <c r="L196" s="14" t="s">
        <v>31</v>
      </c>
      <c r="M196" s="14"/>
      <c r="N196" s="14"/>
      <c r="O196" s="14"/>
    </row>
    <row r="197" spans="1:15" ht="26.4" x14ac:dyDescent="0.3">
      <c r="A197" s="12" t="s">
        <v>910</v>
      </c>
      <c r="B197" s="13" t="s">
        <v>41</v>
      </c>
      <c r="C197" s="13" t="s">
        <v>911</v>
      </c>
      <c r="D197" s="13" t="s">
        <v>108</v>
      </c>
      <c r="E197" s="13" t="s">
        <v>97</v>
      </c>
      <c r="F197" s="13" t="s">
        <v>68</v>
      </c>
      <c r="G197" s="13" t="s">
        <v>69</v>
      </c>
      <c r="H197" s="13" t="s">
        <v>66</v>
      </c>
      <c r="I197" s="13" t="s">
        <v>912</v>
      </c>
      <c r="J197" s="13" t="s">
        <v>913</v>
      </c>
      <c r="K197" s="14"/>
      <c r="L197" s="14" t="s">
        <v>31</v>
      </c>
      <c r="M197" s="14"/>
      <c r="N197" s="14"/>
      <c r="O197" s="14"/>
    </row>
    <row r="198" spans="1:15" ht="26.4" x14ac:dyDescent="0.3">
      <c r="A198" s="12" t="s">
        <v>914</v>
      </c>
      <c r="B198" s="13" t="s">
        <v>41</v>
      </c>
      <c r="C198" s="13" t="s">
        <v>915</v>
      </c>
      <c r="D198" s="13" t="s">
        <v>108</v>
      </c>
      <c r="E198" s="13" t="s">
        <v>97</v>
      </c>
      <c r="F198" s="13" t="s">
        <v>78</v>
      </c>
      <c r="G198" s="13" t="s">
        <v>69</v>
      </c>
      <c r="H198" s="13" t="s">
        <v>66</v>
      </c>
      <c r="I198" s="13" t="s">
        <v>916</v>
      </c>
      <c r="J198" s="13" t="s">
        <v>917</v>
      </c>
      <c r="K198" s="14"/>
      <c r="L198" s="14" t="s">
        <v>31</v>
      </c>
      <c r="M198" s="14"/>
      <c r="N198" s="14"/>
      <c r="O198" s="14"/>
    </row>
    <row r="199" spans="1:15" ht="26.4" x14ac:dyDescent="0.3">
      <c r="A199" s="12" t="s">
        <v>918</v>
      </c>
      <c r="B199" s="13" t="s">
        <v>41</v>
      </c>
      <c r="C199" s="13" t="s">
        <v>919</v>
      </c>
      <c r="D199" s="13" t="s">
        <v>108</v>
      </c>
      <c r="E199" s="13" t="s">
        <v>97</v>
      </c>
      <c r="F199" s="13" t="s">
        <v>98</v>
      </c>
      <c r="G199" s="13" t="s">
        <v>69</v>
      </c>
      <c r="H199" s="13" t="s">
        <v>66</v>
      </c>
      <c r="I199" s="13" t="s">
        <v>920</v>
      </c>
      <c r="J199" s="13" t="s">
        <v>921</v>
      </c>
      <c r="K199" s="14"/>
      <c r="L199" s="14" t="s">
        <v>31</v>
      </c>
      <c r="M199" s="14"/>
      <c r="N199" s="14"/>
      <c r="O199" s="14"/>
    </row>
    <row r="200" spans="1:15" ht="26.4" x14ac:dyDescent="0.3">
      <c r="A200" s="12" t="s">
        <v>922</v>
      </c>
      <c r="B200" s="13" t="s">
        <v>41</v>
      </c>
      <c r="C200" s="13" t="s">
        <v>923</v>
      </c>
      <c r="D200" s="13" t="s">
        <v>108</v>
      </c>
      <c r="E200" s="13" t="s">
        <v>135</v>
      </c>
      <c r="F200" s="13" t="s">
        <v>98</v>
      </c>
      <c r="G200" s="13" t="s">
        <v>69</v>
      </c>
      <c r="H200" s="13" t="s">
        <v>66</v>
      </c>
      <c r="I200" s="13" t="s">
        <v>924</v>
      </c>
      <c r="J200" s="13" t="s">
        <v>925</v>
      </c>
      <c r="K200" s="14"/>
      <c r="L200" s="14" t="s">
        <v>31</v>
      </c>
      <c r="M200" s="14"/>
      <c r="N200" s="14"/>
      <c r="O200" s="14"/>
    </row>
    <row r="201" spans="1:15" ht="52.8" x14ac:dyDescent="0.3">
      <c r="A201" s="12" t="s">
        <v>926</v>
      </c>
      <c r="B201" s="13" t="s">
        <v>41</v>
      </c>
      <c r="C201" s="13" t="s">
        <v>927</v>
      </c>
      <c r="D201" s="13" t="s">
        <v>108</v>
      </c>
      <c r="E201" s="13" t="s">
        <v>135</v>
      </c>
      <c r="F201" s="13" t="s">
        <v>68</v>
      </c>
      <c r="G201" s="13" t="s">
        <v>69</v>
      </c>
      <c r="H201" s="13" t="s">
        <v>928</v>
      </c>
      <c r="I201" s="13" t="s">
        <v>929</v>
      </c>
      <c r="J201" s="13" t="s">
        <v>930</v>
      </c>
      <c r="K201" s="14"/>
      <c r="L201" s="14" t="s">
        <v>31</v>
      </c>
      <c r="M201" s="14"/>
      <c r="N201" s="14"/>
      <c r="O201" s="14"/>
    </row>
    <row r="202" spans="1:15" ht="26.4" x14ac:dyDescent="0.3">
      <c r="A202" s="12" t="s">
        <v>931</v>
      </c>
      <c r="B202" s="13" t="s">
        <v>41</v>
      </c>
      <c r="C202" s="13" t="s">
        <v>932</v>
      </c>
      <c r="D202" s="13" t="s">
        <v>108</v>
      </c>
      <c r="E202" s="13" t="s">
        <v>135</v>
      </c>
      <c r="F202" s="13" t="s">
        <v>68</v>
      </c>
      <c r="G202" s="13" t="s">
        <v>69</v>
      </c>
      <c r="H202" s="13" t="s">
        <v>928</v>
      </c>
      <c r="I202" s="13" t="s">
        <v>933</v>
      </c>
      <c r="J202" s="13" t="s">
        <v>934</v>
      </c>
      <c r="K202" s="14"/>
      <c r="L202" s="14" t="s">
        <v>31</v>
      </c>
      <c r="M202" s="14"/>
      <c r="N202" s="14"/>
      <c r="O202" s="14"/>
    </row>
    <row r="203" spans="1:15" ht="39.6" x14ac:dyDescent="0.3">
      <c r="A203" s="12" t="s">
        <v>935</v>
      </c>
      <c r="B203" s="13" t="s">
        <v>41</v>
      </c>
      <c r="C203" s="13" t="s">
        <v>936</v>
      </c>
      <c r="D203" s="13" t="s">
        <v>108</v>
      </c>
      <c r="E203" s="13" t="s">
        <v>179</v>
      </c>
      <c r="F203" s="13" t="s">
        <v>78</v>
      </c>
      <c r="G203" s="13" t="s">
        <v>69</v>
      </c>
      <c r="H203" s="13" t="s">
        <v>937</v>
      </c>
      <c r="I203" s="13" t="s">
        <v>938</v>
      </c>
      <c r="J203" s="13" t="s">
        <v>939</v>
      </c>
      <c r="K203" s="14"/>
      <c r="L203" s="14" t="s">
        <v>31</v>
      </c>
      <c r="M203" s="14"/>
      <c r="N203" s="14"/>
      <c r="O203" s="14"/>
    </row>
    <row r="204" spans="1:15" ht="26.4" x14ac:dyDescent="0.3">
      <c r="A204" s="12" t="s">
        <v>940</v>
      </c>
      <c r="B204" s="13" t="s">
        <v>41</v>
      </c>
      <c r="C204" s="13" t="s">
        <v>941</v>
      </c>
      <c r="D204" s="13" t="s">
        <v>108</v>
      </c>
      <c r="E204" s="13" t="s">
        <v>135</v>
      </c>
      <c r="F204" s="13" t="s">
        <v>98</v>
      </c>
      <c r="G204" s="13" t="s">
        <v>69</v>
      </c>
      <c r="H204" s="13" t="s">
        <v>942</v>
      </c>
      <c r="I204" s="13" t="s">
        <v>943</v>
      </c>
      <c r="J204" s="13" t="s">
        <v>944</v>
      </c>
      <c r="K204" s="14"/>
      <c r="L204" s="14" t="s">
        <v>31</v>
      </c>
      <c r="M204" s="14"/>
      <c r="N204" s="14"/>
      <c r="O204" s="14"/>
    </row>
    <row r="205" spans="1:15" ht="26.4" x14ac:dyDescent="0.3">
      <c r="A205" s="12" t="s">
        <v>945</v>
      </c>
      <c r="B205" s="13" t="s">
        <v>41</v>
      </c>
      <c r="C205" s="13" t="s">
        <v>946</v>
      </c>
      <c r="D205" s="13" t="s">
        <v>108</v>
      </c>
      <c r="E205" s="13" t="s">
        <v>67</v>
      </c>
      <c r="F205" s="13" t="s">
        <v>98</v>
      </c>
      <c r="G205" s="13" t="s">
        <v>69</v>
      </c>
      <c r="H205" s="13" t="s">
        <v>66</v>
      </c>
      <c r="I205" s="13" t="s">
        <v>947</v>
      </c>
      <c r="J205" s="13" t="s">
        <v>948</v>
      </c>
      <c r="K205" s="14"/>
      <c r="L205" s="14" t="s">
        <v>31</v>
      </c>
      <c r="M205" s="14"/>
      <c r="N205" s="14"/>
      <c r="O205" s="14"/>
    </row>
    <row r="206" spans="1:15" ht="79.2" x14ac:dyDescent="0.3">
      <c r="A206" s="12" t="s">
        <v>949</v>
      </c>
      <c r="B206" s="13" t="s">
        <v>42</v>
      </c>
      <c r="C206" s="13" t="s">
        <v>950</v>
      </c>
      <c r="D206" s="13" t="s">
        <v>951</v>
      </c>
      <c r="E206" s="13" t="s">
        <v>67</v>
      </c>
      <c r="F206" s="13" t="s">
        <v>68</v>
      </c>
      <c r="G206" s="13" t="s">
        <v>628</v>
      </c>
      <c r="H206" s="13" t="s">
        <v>952</v>
      </c>
      <c r="I206" s="13" t="s">
        <v>953</v>
      </c>
      <c r="J206" s="13" t="s">
        <v>954</v>
      </c>
      <c r="K206" s="14"/>
      <c r="L206" s="14" t="s">
        <v>31</v>
      </c>
      <c r="M206" s="14"/>
      <c r="N206" s="14"/>
      <c r="O206" s="14"/>
    </row>
    <row r="207" spans="1:15" ht="26.4" x14ac:dyDescent="0.3">
      <c r="A207" s="12" t="s">
        <v>955</v>
      </c>
      <c r="B207" s="13" t="s">
        <v>42</v>
      </c>
      <c r="C207" s="13" t="s">
        <v>950</v>
      </c>
      <c r="D207" s="13" t="s">
        <v>83</v>
      </c>
      <c r="E207" s="13" t="s">
        <v>67</v>
      </c>
      <c r="F207" s="13" t="s">
        <v>68</v>
      </c>
      <c r="G207" s="13" t="s">
        <v>628</v>
      </c>
      <c r="H207" s="13" t="s">
        <v>956</v>
      </c>
      <c r="I207" s="13" t="s">
        <v>957</v>
      </c>
      <c r="J207" s="13" t="s">
        <v>958</v>
      </c>
      <c r="K207" s="14"/>
      <c r="L207" s="14" t="s">
        <v>31</v>
      </c>
      <c r="M207" s="14"/>
      <c r="N207" s="14"/>
      <c r="O207" s="14"/>
    </row>
    <row r="208" spans="1:15" ht="118.8" x14ac:dyDescent="0.3">
      <c r="A208" s="12" t="s">
        <v>959</v>
      </c>
      <c r="B208" s="13" t="s">
        <v>42</v>
      </c>
      <c r="C208" s="13" t="s">
        <v>960</v>
      </c>
      <c r="D208" s="13" t="s">
        <v>83</v>
      </c>
      <c r="E208" s="13" t="s">
        <v>67</v>
      </c>
      <c r="F208" s="13" t="s">
        <v>68</v>
      </c>
      <c r="G208" s="13" t="s">
        <v>628</v>
      </c>
      <c r="H208" s="13" t="s">
        <v>961</v>
      </c>
      <c r="I208" s="13" t="s">
        <v>962</v>
      </c>
      <c r="J208" s="13" t="s">
        <v>963</v>
      </c>
      <c r="K208" s="14"/>
      <c r="L208" s="14" t="s">
        <v>31</v>
      </c>
      <c r="M208" s="14"/>
      <c r="N208" s="14"/>
      <c r="O208" s="14"/>
    </row>
    <row r="209" spans="1:15" ht="66" x14ac:dyDescent="0.3">
      <c r="A209" s="12" t="s">
        <v>964</v>
      </c>
      <c r="B209" s="13" t="s">
        <v>42</v>
      </c>
      <c r="C209" s="13" t="s">
        <v>965</v>
      </c>
      <c r="D209" s="13" t="s">
        <v>108</v>
      </c>
      <c r="E209" s="13" t="s">
        <v>135</v>
      </c>
      <c r="F209" s="13" t="s">
        <v>68</v>
      </c>
      <c r="G209" s="13" t="s">
        <v>628</v>
      </c>
      <c r="H209" s="13" t="s">
        <v>966</v>
      </c>
      <c r="I209" s="13" t="s">
        <v>967</v>
      </c>
      <c r="J209" s="13" t="s">
        <v>968</v>
      </c>
      <c r="K209" s="14"/>
      <c r="L209" s="14" t="s">
        <v>31</v>
      </c>
      <c r="M209" s="14"/>
      <c r="N209" s="14"/>
      <c r="O209" s="14"/>
    </row>
    <row r="210" spans="1:15" ht="52.8" x14ac:dyDescent="0.3">
      <c r="A210" s="12" t="s">
        <v>969</v>
      </c>
      <c r="B210" s="13" t="s">
        <v>42</v>
      </c>
      <c r="C210" s="13" t="s">
        <v>965</v>
      </c>
      <c r="D210" s="13" t="s">
        <v>108</v>
      </c>
      <c r="E210" s="13" t="s">
        <v>179</v>
      </c>
      <c r="F210" s="13" t="s">
        <v>78</v>
      </c>
      <c r="G210" s="13" t="s">
        <v>628</v>
      </c>
      <c r="H210" s="13" t="s">
        <v>966</v>
      </c>
      <c r="I210" s="13" t="s">
        <v>970</v>
      </c>
      <c r="J210" s="13" t="s">
        <v>971</v>
      </c>
      <c r="K210" s="14"/>
      <c r="L210" s="14" t="s">
        <v>31</v>
      </c>
      <c r="M210" s="14"/>
      <c r="N210" s="14"/>
      <c r="O210" s="14"/>
    </row>
    <row r="211" spans="1:15" ht="66" x14ac:dyDescent="0.3">
      <c r="A211" s="12" t="s">
        <v>972</v>
      </c>
      <c r="B211" s="13" t="s">
        <v>42</v>
      </c>
      <c r="C211" s="13" t="s">
        <v>973</v>
      </c>
      <c r="D211" s="13" t="s">
        <v>384</v>
      </c>
      <c r="E211" s="13" t="s">
        <v>135</v>
      </c>
      <c r="F211" s="13" t="s">
        <v>68</v>
      </c>
      <c r="G211" s="13" t="s">
        <v>628</v>
      </c>
      <c r="H211" s="13" t="s">
        <v>974</v>
      </c>
      <c r="I211" s="13" t="s">
        <v>975</v>
      </c>
      <c r="J211" s="13" t="s">
        <v>976</v>
      </c>
      <c r="K211" s="14"/>
      <c r="L211" s="14" t="s">
        <v>31</v>
      </c>
      <c r="M211" s="14"/>
      <c r="N211" s="14"/>
      <c r="O211" s="14"/>
    </row>
    <row r="212" spans="1:15" ht="52.8" x14ac:dyDescent="0.3">
      <c r="A212" s="12" t="s">
        <v>977</v>
      </c>
      <c r="B212" s="13" t="s">
        <v>42</v>
      </c>
      <c r="C212" s="13" t="s">
        <v>973</v>
      </c>
      <c r="D212" s="13" t="s">
        <v>108</v>
      </c>
      <c r="E212" s="13" t="s">
        <v>97</v>
      </c>
      <c r="F212" s="13" t="s">
        <v>78</v>
      </c>
      <c r="G212" s="13" t="s">
        <v>628</v>
      </c>
      <c r="H212" s="13" t="s">
        <v>966</v>
      </c>
      <c r="I212" s="13" t="s">
        <v>978</v>
      </c>
      <c r="J212" s="13" t="s">
        <v>979</v>
      </c>
      <c r="K212" s="14"/>
      <c r="L212" s="14" t="s">
        <v>31</v>
      </c>
      <c r="M212" s="14"/>
      <c r="N212" s="14"/>
      <c r="O212" s="14"/>
    </row>
    <row r="213" spans="1:15" ht="52.8" x14ac:dyDescent="0.3">
      <c r="A213" s="12" t="s">
        <v>980</v>
      </c>
      <c r="B213" s="13" t="s">
        <v>42</v>
      </c>
      <c r="C213" s="13" t="s">
        <v>981</v>
      </c>
      <c r="D213" s="13" t="s">
        <v>108</v>
      </c>
      <c r="E213" s="13" t="s">
        <v>67</v>
      </c>
      <c r="F213" s="13" t="s">
        <v>68</v>
      </c>
      <c r="G213" s="13" t="s">
        <v>628</v>
      </c>
      <c r="H213" s="13" t="s">
        <v>966</v>
      </c>
      <c r="I213" s="13" t="s">
        <v>982</v>
      </c>
      <c r="J213" s="13" t="s">
        <v>983</v>
      </c>
      <c r="K213" s="14"/>
      <c r="L213" s="14" t="s">
        <v>31</v>
      </c>
      <c r="M213" s="14"/>
      <c r="N213" s="14"/>
      <c r="O213" s="14"/>
    </row>
    <row r="214" spans="1:15" ht="66" x14ac:dyDescent="0.3">
      <c r="A214" s="12" t="s">
        <v>984</v>
      </c>
      <c r="B214" s="13" t="s">
        <v>42</v>
      </c>
      <c r="C214" s="13" t="s">
        <v>985</v>
      </c>
      <c r="D214" s="13" t="s">
        <v>108</v>
      </c>
      <c r="E214" s="13" t="s">
        <v>135</v>
      </c>
      <c r="F214" s="13" t="s">
        <v>68</v>
      </c>
      <c r="G214" s="13" t="s">
        <v>628</v>
      </c>
      <c r="H214" s="13" t="s">
        <v>966</v>
      </c>
      <c r="I214" s="13" t="s">
        <v>986</v>
      </c>
      <c r="J214" s="13" t="s">
        <v>987</v>
      </c>
      <c r="K214" s="14"/>
      <c r="L214" s="14" t="s">
        <v>31</v>
      </c>
      <c r="M214" s="14"/>
      <c r="N214" s="14"/>
      <c r="O214" s="14"/>
    </row>
    <row r="215" spans="1:15" ht="52.8" x14ac:dyDescent="0.3">
      <c r="A215" s="12" t="s">
        <v>988</v>
      </c>
      <c r="B215" s="13" t="s">
        <v>42</v>
      </c>
      <c r="C215" s="13" t="s">
        <v>985</v>
      </c>
      <c r="D215" s="13" t="s">
        <v>384</v>
      </c>
      <c r="E215" s="13" t="s">
        <v>135</v>
      </c>
      <c r="F215" s="13" t="s">
        <v>78</v>
      </c>
      <c r="G215" s="13" t="s">
        <v>628</v>
      </c>
      <c r="H215" s="13" t="s">
        <v>966</v>
      </c>
      <c r="I215" s="13" t="s">
        <v>989</v>
      </c>
      <c r="J215" s="13" t="s">
        <v>990</v>
      </c>
      <c r="K215" s="14"/>
      <c r="L215" s="14" t="s">
        <v>31</v>
      </c>
      <c r="M215" s="14"/>
      <c r="N215" s="14"/>
      <c r="O215" s="14"/>
    </row>
    <row r="216" spans="1:15" ht="52.8" x14ac:dyDescent="0.3">
      <c r="A216" s="12" t="s">
        <v>991</v>
      </c>
      <c r="B216" s="13" t="s">
        <v>42</v>
      </c>
      <c r="C216" s="13" t="s">
        <v>985</v>
      </c>
      <c r="D216" s="13" t="s">
        <v>108</v>
      </c>
      <c r="E216" s="13" t="s">
        <v>97</v>
      </c>
      <c r="F216" s="13" t="s">
        <v>78</v>
      </c>
      <c r="G216" s="13" t="s">
        <v>628</v>
      </c>
      <c r="H216" s="13" t="s">
        <v>966</v>
      </c>
      <c r="I216" s="13" t="s">
        <v>992</v>
      </c>
      <c r="J216" s="13" t="s">
        <v>993</v>
      </c>
      <c r="K216" s="14"/>
      <c r="L216" s="14" t="s">
        <v>31</v>
      </c>
      <c r="M216" s="14"/>
      <c r="N216" s="14"/>
      <c r="O216" s="14"/>
    </row>
    <row r="217" spans="1:15" ht="52.8" x14ac:dyDescent="0.3">
      <c r="A217" s="12" t="s">
        <v>994</v>
      </c>
      <c r="B217" s="13" t="s">
        <v>42</v>
      </c>
      <c r="C217" s="13" t="s">
        <v>995</v>
      </c>
      <c r="D217" s="13" t="s">
        <v>108</v>
      </c>
      <c r="E217" s="13" t="s">
        <v>67</v>
      </c>
      <c r="F217" s="13" t="s">
        <v>78</v>
      </c>
      <c r="G217" s="13" t="s">
        <v>628</v>
      </c>
      <c r="H217" s="13" t="s">
        <v>966</v>
      </c>
      <c r="I217" s="13" t="s">
        <v>996</v>
      </c>
      <c r="J217" s="13" t="s">
        <v>997</v>
      </c>
      <c r="K217" s="14"/>
      <c r="L217" s="14" t="s">
        <v>31</v>
      </c>
      <c r="M217" s="14"/>
      <c r="N217" s="14"/>
      <c r="O217" s="14"/>
    </row>
    <row r="218" spans="1:15" ht="52.8" x14ac:dyDescent="0.3">
      <c r="A218" s="12" t="s">
        <v>998</v>
      </c>
      <c r="B218" s="13" t="s">
        <v>42</v>
      </c>
      <c r="C218" s="13" t="s">
        <v>999</v>
      </c>
      <c r="D218" s="13" t="s">
        <v>108</v>
      </c>
      <c r="E218" s="13" t="s">
        <v>135</v>
      </c>
      <c r="F218" s="13" t="s">
        <v>68</v>
      </c>
      <c r="G218" s="13" t="s">
        <v>628</v>
      </c>
      <c r="H218" s="13" t="s">
        <v>966</v>
      </c>
      <c r="I218" s="13" t="s">
        <v>1000</v>
      </c>
      <c r="J218" s="13" t="s">
        <v>1001</v>
      </c>
      <c r="K218" s="14"/>
      <c r="L218" s="14" t="s">
        <v>31</v>
      </c>
      <c r="M218" s="14"/>
      <c r="N218" s="14"/>
      <c r="O218" s="14"/>
    </row>
    <row r="219" spans="1:15" ht="52.8" x14ac:dyDescent="0.3">
      <c r="A219" s="12" t="s">
        <v>1002</v>
      </c>
      <c r="B219" s="13" t="s">
        <v>42</v>
      </c>
      <c r="C219" s="13" t="s">
        <v>999</v>
      </c>
      <c r="D219" s="13" t="s">
        <v>108</v>
      </c>
      <c r="E219" s="13" t="s">
        <v>135</v>
      </c>
      <c r="F219" s="13" t="s">
        <v>78</v>
      </c>
      <c r="G219" s="13" t="s">
        <v>628</v>
      </c>
      <c r="H219" s="13" t="s">
        <v>966</v>
      </c>
      <c r="I219" s="13" t="s">
        <v>1003</v>
      </c>
      <c r="J219" s="13" t="s">
        <v>1004</v>
      </c>
      <c r="K219" s="14"/>
      <c r="L219" s="14" t="s">
        <v>31</v>
      </c>
      <c r="M219" s="14"/>
      <c r="N219" s="14"/>
      <c r="O219" s="14"/>
    </row>
    <row r="220" spans="1:15" ht="66" x14ac:dyDescent="0.3">
      <c r="A220" s="12" t="s">
        <v>1005</v>
      </c>
      <c r="B220" s="13" t="s">
        <v>42</v>
      </c>
      <c r="C220" s="13" t="s">
        <v>1006</v>
      </c>
      <c r="D220" s="13" t="s">
        <v>108</v>
      </c>
      <c r="E220" s="13" t="s">
        <v>135</v>
      </c>
      <c r="F220" s="13" t="s">
        <v>78</v>
      </c>
      <c r="G220" s="13" t="s">
        <v>628</v>
      </c>
      <c r="H220" s="13" t="s">
        <v>1007</v>
      </c>
      <c r="I220" s="13" t="s">
        <v>1008</v>
      </c>
      <c r="J220" s="13" t="s">
        <v>1009</v>
      </c>
      <c r="K220" s="14"/>
      <c r="L220" s="14" t="s">
        <v>31</v>
      </c>
      <c r="M220" s="14"/>
      <c r="N220" s="14"/>
      <c r="O220" s="14"/>
    </row>
    <row r="221" spans="1:15" ht="26.4" x14ac:dyDescent="0.3">
      <c r="A221" s="12" t="s">
        <v>1010</v>
      </c>
      <c r="B221" s="13" t="s">
        <v>42</v>
      </c>
      <c r="C221" s="13" t="s">
        <v>1006</v>
      </c>
      <c r="D221" s="13" t="s">
        <v>108</v>
      </c>
      <c r="E221" s="13" t="s">
        <v>97</v>
      </c>
      <c r="F221" s="13" t="s">
        <v>98</v>
      </c>
      <c r="G221" s="13" t="s">
        <v>628</v>
      </c>
      <c r="H221" s="13" t="s">
        <v>1011</v>
      </c>
      <c r="I221" s="13" t="s">
        <v>1012</v>
      </c>
      <c r="J221" s="13" t="s">
        <v>1013</v>
      </c>
      <c r="K221" s="14"/>
      <c r="L221" s="14" t="s">
        <v>31</v>
      </c>
      <c r="M221" s="14"/>
      <c r="N221" s="14"/>
      <c r="O221" s="14"/>
    </row>
    <row r="222" spans="1:15" ht="79.2" x14ac:dyDescent="0.3">
      <c r="A222" s="12" t="s">
        <v>1014</v>
      </c>
      <c r="B222" s="13" t="s">
        <v>42</v>
      </c>
      <c r="C222" s="13" t="s">
        <v>1015</v>
      </c>
      <c r="D222" s="13" t="s">
        <v>108</v>
      </c>
      <c r="E222" s="13" t="s">
        <v>135</v>
      </c>
      <c r="F222" s="13" t="s">
        <v>68</v>
      </c>
      <c r="G222" s="13" t="s">
        <v>628</v>
      </c>
      <c r="H222" s="13" t="s">
        <v>966</v>
      </c>
      <c r="I222" s="13" t="s">
        <v>1016</v>
      </c>
      <c r="J222" s="13" t="s">
        <v>1017</v>
      </c>
      <c r="K222" s="14"/>
      <c r="L222" s="14" t="s">
        <v>31</v>
      </c>
      <c r="M222" s="14"/>
      <c r="N222" s="14"/>
      <c r="O222" s="14"/>
    </row>
    <row r="223" spans="1:15" ht="66" x14ac:dyDescent="0.3">
      <c r="A223" s="12" t="s">
        <v>1018</v>
      </c>
      <c r="B223" s="13" t="s">
        <v>42</v>
      </c>
      <c r="C223" s="13" t="s">
        <v>1015</v>
      </c>
      <c r="D223" s="13" t="s">
        <v>108</v>
      </c>
      <c r="E223" s="13" t="s">
        <v>179</v>
      </c>
      <c r="F223" s="13" t="s">
        <v>78</v>
      </c>
      <c r="G223" s="13" t="s">
        <v>628</v>
      </c>
      <c r="H223" s="13" t="s">
        <v>1019</v>
      </c>
      <c r="I223" s="13" t="s">
        <v>1020</v>
      </c>
      <c r="J223" s="13" t="s">
        <v>1021</v>
      </c>
      <c r="K223" s="14"/>
      <c r="L223" s="14" t="s">
        <v>31</v>
      </c>
      <c r="M223" s="14"/>
      <c r="N223" s="14"/>
      <c r="O223" s="14"/>
    </row>
    <row r="224" spans="1:15" ht="52.8" x14ac:dyDescent="0.3">
      <c r="A224" s="12" t="s">
        <v>1022</v>
      </c>
      <c r="B224" s="13" t="s">
        <v>42</v>
      </c>
      <c r="C224" s="13" t="s">
        <v>1023</v>
      </c>
      <c r="D224" s="13" t="s">
        <v>108</v>
      </c>
      <c r="E224" s="13" t="s">
        <v>135</v>
      </c>
      <c r="F224" s="13" t="s">
        <v>78</v>
      </c>
      <c r="G224" s="13" t="s">
        <v>628</v>
      </c>
      <c r="H224" s="13" t="s">
        <v>966</v>
      </c>
      <c r="I224" s="13" t="s">
        <v>1024</v>
      </c>
      <c r="J224" s="13" t="s">
        <v>1025</v>
      </c>
      <c r="K224" s="14"/>
      <c r="L224" s="14" t="s">
        <v>31</v>
      </c>
      <c r="M224" s="14"/>
      <c r="N224" s="14"/>
      <c r="O224" s="14"/>
    </row>
    <row r="225" spans="1:15" ht="52.8" x14ac:dyDescent="0.3">
      <c r="A225" s="12" t="s">
        <v>1026</v>
      </c>
      <c r="B225" s="13" t="s">
        <v>42</v>
      </c>
      <c r="C225" s="13" t="s">
        <v>1027</v>
      </c>
      <c r="D225" s="13" t="s">
        <v>951</v>
      </c>
      <c r="E225" s="13" t="s">
        <v>67</v>
      </c>
      <c r="F225" s="13" t="s">
        <v>68</v>
      </c>
      <c r="G225" s="13" t="s">
        <v>628</v>
      </c>
      <c r="H225" s="13" t="s">
        <v>966</v>
      </c>
      <c r="I225" s="13" t="s">
        <v>1028</v>
      </c>
      <c r="J225" s="13" t="s">
        <v>1029</v>
      </c>
      <c r="K225" s="14"/>
      <c r="L225" s="14" t="s">
        <v>31</v>
      </c>
      <c r="M225" s="14"/>
      <c r="N225" s="14"/>
      <c r="O225" s="14"/>
    </row>
    <row r="226" spans="1:15" ht="52.8" x14ac:dyDescent="0.3">
      <c r="A226" s="12" t="s">
        <v>1030</v>
      </c>
      <c r="B226" s="13" t="s">
        <v>42</v>
      </c>
      <c r="C226" s="13" t="s">
        <v>1031</v>
      </c>
      <c r="D226" s="13" t="s">
        <v>108</v>
      </c>
      <c r="E226" s="13" t="s">
        <v>135</v>
      </c>
      <c r="F226" s="13" t="s">
        <v>68</v>
      </c>
      <c r="G226" s="13" t="s">
        <v>628</v>
      </c>
      <c r="H226" s="13" t="s">
        <v>966</v>
      </c>
      <c r="I226" s="13" t="s">
        <v>1032</v>
      </c>
      <c r="J226" s="13" t="s">
        <v>1033</v>
      </c>
      <c r="K226" s="14"/>
      <c r="L226" s="14" t="s">
        <v>31</v>
      </c>
      <c r="M226" s="14"/>
      <c r="N226" s="14"/>
      <c r="O226" s="14"/>
    </row>
    <row r="227" spans="1:15" ht="52.8" x14ac:dyDescent="0.3">
      <c r="A227" s="12" t="s">
        <v>1034</v>
      </c>
      <c r="B227" s="13" t="s">
        <v>42</v>
      </c>
      <c r="C227" s="13" t="s">
        <v>1031</v>
      </c>
      <c r="D227" s="13" t="s">
        <v>108</v>
      </c>
      <c r="E227" s="13" t="s">
        <v>67</v>
      </c>
      <c r="F227" s="13" t="s">
        <v>78</v>
      </c>
      <c r="G227" s="13" t="s">
        <v>628</v>
      </c>
      <c r="H227" s="13" t="s">
        <v>966</v>
      </c>
      <c r="I227" s="13" t="s">
        <v>1035</v>
      </c>
      <c r="J227" s="13" t="s">
        <v>1036</v>
      </c>
      <c r="K227" s="14"/>
      <c r="L227" s="14" t="s">
        <v>31</v>
      </c>
      <c r="M227" s="14"/>
      <c r="N227" s="14"/>
      <c r="O227" s="14"/>
    </row>
    <row r="228" spans="1:15" ht="52.8" x14ac:dyDescent="0.3">
      <c r="A228" s="12" t="s">
        <v>1037</v>
      </c>
      <c r="B228" s="13" t="s">
        <v>42</v>
      </c>
      <c r="C228" s="13" t="s">
        <v>1038</v>
      </c>
      <c r="D228" s="13" t="s">
        <v>108</v>
      </c>
      <c r="E228" s="13" t="s">
        <v>135</v>
      </c>
      <c r="F228" s="13" t="s">
        <v>78</v>
      </c>
      <c r="G228" s="13" t="s">
        <v>628</v>
      </c>
      <c r="H228" s="13" t="s">
        <v>966</v>
      </c>
      <c r="I228" s="13" t="s">
        <v>1039</v>
      </c>
      <c r="J228" s="13" t="s">
        <v>1040</v>
      </c>
      <c r="K228" s="14"/>
      <c r="L228" s="14" t="s">
        <v>31</v>
      </c>
      <c r="M228" s="14"/>
      <c r="N228" s="14"/>
      <c r="O228" s="14"/>
    </row>
    <row r="229" spans="1:15" ht="52.8" x14ac:dyDescent="0.3">
      <c r="A229" s="12" t="s">
        <v>1041</v>
      </c>
      <c r="B229" s="13" t="s">
        <v>42</v>
      </c>
      <c r="C229" s="13" t="s">
        <v>1042</v>
      </c>
      <c r="D229" s="13" t="s">
        <v>108</v>
      </c>
      <c r="E229" s="13" t="s">
        <v>135</v>
      </c>
      <c r="F229" s="13" t="s">
        <v>78</v>
      </c>
      <c r="G229" s="13" t="s">
        <v>628</v>
      </c>
      <c r="H229" s="13" t="s">
        <v>966</v>
      </c>
      <c r="I229" s="13" t="s">
        <v>1043</v>
      </c>
      <c r="J229" s="13" t="s">
        <v>1044</v>
      </c>
      <c r="K229" s="14"/>
      <c r="L229" s="14" t="s">
        <v>31</v>
      </c>
      <c r="M229" s="14"/>
      <c r="N229" s="14"/>
      <c r="O229" s="14"/>
    </row>
    <row r="230" spans="1:15" ht="52.8" x14ac:dyDescent="0.3">
      <c r="A230" s="12" t="s">
        <v>1045</v>
      </c>
      <c r="B230" s="13" t="s">
        <v>42</v>
      </c>
      <c r="C230" s="13" t="s">
        <v>1046</v>
      </c>
      <c r="D230" s="13" t="s">
        <v>108</v>
      </c>
      <c r="E230" s="13" t="s">
        <v>67</v>
      </c>
      <c r="F230" s="13" t="s">
        <v>98</v>
      </c>
      <c r="G230" s="13" t="s">
        <v>628</v>
      </c>
      <c r="H230" s="13" t="s">
        <v>966</v>
      </c>
      <c r="I230" s="13" t="s">
        <v>1047</v>
      </c>
      <c r="J230" s="13" t="s">
        <v>1048</v>
      </c>
      <c r="K230" s="14"/>
      <c r="L230" s="14" t="s">
        <v>31</v>
      </c>
      <c r="M230" s="14"/>
      <c r="N230" s="14"/>
      <c r="O230" s="14"/>
    </row>
    <row r="231" spans="1:15" ht="66" x14ac:dyDescent="0.3">
      <c r="A231" s="12" t="s">
        <v>1049</v>
      </c>
      <c r="B231" s="13" t="s">
        <v>42</v>
      </c>
      <c r="C231" s="13" t="s">
        <v>1050</v>
      </c>
      <c r="D231" s="13" t="s">
        <v>108</v>
      </c>
      <c r="E231" s="13" t="s">
        <v>135</v>
      </c>
      <c r="F231" s="13" t="s">
        <v>68</v>
      </c>
      <c r="G231" s="13" t="s">
        <v>628</v>
      </c>
      <c r="H231" s="13" t="s">
        <v>966</v>
      </c>
      <c r="I231" s="13" t="s">
        <v>1051</v>
      </c>
      <c r="J231" s="13" t="s">
        <v>1052</v>
      </c>
      <c r="K231" s="14"/>
      <c r="L231" s="14" t="s">
        <v>31</v>
      </c>
      <c r="M231" s="14"/>
      <c r="N231" s="14"/>
      <c r="O231" s="14"/>
    </row>
    <row r="232" spans="1:15" ht="52.8" x14ac:dyDescent="0.3">
      <c r="A232" s="12" t="s">
        <v>1053</v>
      </c>
      <c r="B232" s="13" t="s">
        <v>42</v>
      </c>
      <c r="C232" s="13" t="s">
        <v>1054</v>
      </c>
      <c r="D232" s="13" t="s">
        <v>108</v>
      </c>
      <c r="E232" s="13" t="s">
        <v>179</v>
      </c>
      <c r="F232" s="13" t="s">
        <v>78</v>
      </c>
      <c r="G232" s="13" t="s">
        <v>628</v>
      </c>
      <c r="H232" s="13" t="s">
        <v>966</v>
      </c>
      <c r="I232" s="13" t="s">
        <v>1055</v>
      </c>
      <c r="J232" s="13" t="s">
        <v>1056</v>
      </c>
      <c r="K232" s="14"/>
      <c r="L232" s="14" t="s">
        <v>31</v>
      </c>
      <c r="M232" s="14"/>
      <c r="N232" s="14"/>
      <c r="O232" s="14"/>
    </row>
    <row r="233" spans="1:15" ht="52.8" x14ac:dyDescent="0.3">
      <c r="A233" s="12" t="s">
        <v>1057</v>
      </c>
      <c r="B233" s="13" t="s">
        <v>42</v>
      </c>
      <c r="C233" s="13" t="s">
        <v>1058</v>
      </c>
      <c r="D233" s="13" t="s">
        <v>108</v>
      </c>
      <c r="E233" s="13" t="s">
        <v>179</v>
      </c>
      <c r="F233" s="13" t="s">
        <v>98</v>
      </c>
      <c r="G233" s="13" t="s">
        <v>628</v>
      </c>
      <c r="H233" s="13" t="s">
        <v>966</v>
      </c>
      <c r="I233" s="13" t="s">
        <v>1059</v>
      </c>
      <c r="J233" s="13" t="s">
        <v>1060</v>
      </c>
      <c r="K233" s="14"/>
      <c r="L233" s="14" t="s">
        <v>31</v>
      </c>
      <c r="M233" s="14"/>
      <c r="N233" s="14"/>
      <c r="O233" s="14"/>
    </row>
    <row r="234" spans="1:15" ht="52.8" x14ac:dyDescent="0.3">
      <c r="A234" s="12" t="s">
        <v>1061</v>
      </c>
      <c r="B234" s="13" t="s">
        <v>42</v>
      </c>
      <c r="C234" s="13" t="s">
        <v>1062</v>
      </c>
      <c r="D234" s="13" t="s">
        <v>108</v>
      </c>
      <c r="E234" s="13" t="s">
        <v>135</v>
      </c>
      <c r="F234" s="13" t="s">
        <v>78</v>
      </c>
      <c r="G234" s="13" t="s">
        <v>628</v>
      </c>
      <c r="H234" s="13" t="s">
        <v>966</v>
      </c>
      <c r="I234" s="13" t="s">
        <v>1063</v>
      </c>
      <c r="J234" s="13" t="s">
        <v>1064</v>
      </c>
      <c r="K234" s="14"/>
      <c r="L234" s="14" t="s">
        <v>31</v>
      </c>
      <c r="M234" s="14"/>
      <c r="N234" s="14"/>
      <c r="O234" s="14"/>
    </row>
    <row r="235" spans="1:15" ht="52.8" x14ac:dyDescent="0.3">
      <c r="A235" s="12" t="s">
        <v>1065</v>
      </c>
      <c r="B235" s="13" t="s">
        <v>42</v>
      </c>
      <c r="C235" s="13" t="s">
        <v>1066</v>
      </c>
      <c r="D235" s="13" t="s">
        <v>108</v>
      </c>
      <c r="E235" s="13" t="s">
        <v>97</v>
      </c>
      <c r="F235" s="13" t="s">
        <v>68</v>
      </c>
      <c r="G235" s="13" t="s">
        <v>628</v>
      </c>
      <c r="H235" s="13" t="s">
        <v>966</v>
      </c>
      <c r="I235" s="13" t="s">
        <v>1067</v>
      </c>
      <c r="J235" s="13" t="s">
        <v>1068</v>
      </c>
      <c r="K235" s="14"/>
      <c r="L235" s="14" t="s">
        <v>31</v>
      </c>
      <c r="M235" s="14"/>
      <c r="N235" s="14"/>
      <c r="O235" s="14"/>
    </row>
    <row r="236" spans="1:15" ht="79.2" x14ac:dyDescent="0.3">
      <c r="A236" s="12" t="s">
        <v>1069</v>
      </c>
      <c r="B236" s="13" t="s">
        <v>42</v>
      </c>
      <c r="C236" s="13" t="s">
        <v>1070</v>
      </c>
      <c r="D236" s="13" t="s">
        <v>108</v>
      </c>
      <c r="E236" s="13" t="s">
        <v>179</v>
      </c>
      <c r="F236" s="13" t="s">
        <v>78</v>
      </c>
      <c r="G236" s="13" t="s">
        <v>628</v>
      </c>
      <c r="H236" s="13" t="s">
        <v>1071</v>
      </c>
      <c r="I236" s="13" t="s">
        <v>1072</v>
      </c>
      <c r="J236" s="13" t="s">
        <v>1073</v>
      </c>
      <c r="K236" s="14"/>
      <c r="L236" s="14" t="s">
        <v>31</v>
      </c>
      <c r="M236" s="14"/>
      <c r="N236" s="14"/>
      <c r="O236" s="14"/>
    </row>
    <row r="237" spans="1:15" ht="52.8" x14ac:dyDescent="0.3">
      <c r="A237" s="12" t="s">
        <v>1074</v>
      </c>
      <c r="B237" s="13" t="s">
        <v>42</v>
      </c>
      <c r="C237" s="13" t="s">
        <v>1075</v>
      </c>
      <c r="D237" s="13" t="s">
        <v>108</v>
      </c>
      <c r="E237" s="13" t="s">
        <v>135</v>
      </c>
      <c r="F237" s="13" t="s">
        <v>98</v>
      </c>
      <c r="G237" s="13" t="s">
        <v>628</v>
      </c>
      <c r="H237" s="13" t="s">
        <v>1076</v>
      </c>
      <c r="I237" s="13" t="s">
        <v>1072</v>
      </c>
      <c r="J237" s="13" t="s">
        <v>1077</v>
      </c>
      <c r="K237" s="14"/>
      <c r="L237" s="14" t="s">
        <v>31</v>
      </c>
      <c r="M237" s="14"/>
      <c r="N237" s="14"/>
      <c r="O237" s="14"/>
    </row>
    <row r="238" spans="1:15" ht="52.8" x14ac:dyDescent="0.3">
      <c r="A238" s="12" t="s">
        <v>1078</v>
      </c>
      <c r="B238" s="13" t="s">
        <v>42</v>
      </c>
      <c r="C238" s="13" t="s">
        <v>1079</v>
      </c>
      <c r="D238" s="13" t="s">
        <v>951</v>
      </c>
      <c r="E238" s="13" t="s">
        <v>67</v>
      </c>
      <c r="F238" s="13" t="s">
        <v>78</v>
      </c>
      <c r="G238" s="13" t="s">
        <v>628</v>
      </c>
      <c r="H238" s="13" t="s">
        <v>966</v>
      </c>
      <c r="I238" s="13" t="s">
        <v>1080</v>
      </c>
      <c r="J238" s="13" t="s">
        <v>1081</v>
      </c>
      <c r="K238" s="14"/>
      <c r="L238" s="14" t="s">
        <v>31</v>
      </c>
      <c r="M238" s="14"/>
      <c r="N238" s="14"/>
      <c r="O238" s="14"/>
    </row>
    <row r="239" spans="1:15" ht="66" x14ac:dyDescent="0.3">
      <c r="A239" s="12" t="s">
        <v>1082</v>
      </c>
      <c r="B239" s="13" t="s">
        <v>42</v>
      </c>
      <c r="C239" s="13" t="s">
        <v>1083</v>
      </c>
      <c r="D239" s="13" t="s">
        <v>951</v>
      </c>
      <c r="E239" s="13" t="s">
        <v>135</v>
      </c>
      <c r="F239" s="13" t="s">
        <v>78</v>
      </c>
      <c r="G239" s="13" t="s">
        <v>628</v>
      </c>
      <c r="H239" s="13" t="s">
        <v>1084</v>
      </c>
      <c r="I239" s="13" t="s">
        <v>1085</v>
      </c>
      <c r="J239" s="13" t="s">
        <v>1086</v>
      </c>
      <c r="K239" s="14"/>
      <c r="L239" s="14" t="s">
        <v>31</v>
      </c>
      <c r="M239" s="14"/>
      <c r="N239" s="14"/>
      <c r="O239" s="14"/>
    </row>
    <row r="240" spans="1:15" ht="39.6" x14ac:dyDescent="0.3">
      <c r="A240" s="12" t="s">
        <v>1087</v>
      </c>
      <c r="B240" s="13" t="s">
        <v>42</v>
      </c>
      <c r="C240" s="13" t="s">
        <v>1088</v>
      </c>
      <c r="D240" s="13" t="s">
        <v>951</v>
      </c>
      <c r="E240" s="13" t="s">
        <v>135</v>
      </c>
      <c r="F240" s="13" t="s">
        <v>78</v>
      </c>
      <c r="G240" s="13" t="s">
        <v>628</v>
      </c>
      <c r="H240" s="13" t="s">
        <v>1089</v>
      </c>
      <c r="I240" s="13" t="s">
        <v>1090</v>
      </c>
      <c r="J240" s="13" t="s">
        <v>1091</v>
      </c>
      <c r="K240" s="14"/>
      <c r="L240" s="14" t="s">
        <v>31</v>
      </c>
      <c r="M240" s="14"/>
      <c r="N240" s="14"/>
      <c r="O240" s="14"/>
    </row>
    <row r="241" spans="1:15" ht="52.8" x14ac:dyDescent="0.3">
      <c r="A241" s="12" t="s">
        <v>1092</v>
      </c>
      <c r="B241" s="13" t="s">
        <v>42</v>
      </c>
      <c r="C241" s="13" t="s">
        <v>1093</v>
      </c>
      <c r="D241" s="13" t="s">
        <v>951</v>
      </c>
      <c r="E241" s="13" t="s">
        <v>97</v>
      </c>
      <c r="F241" s="13" t="s">
        <v>78</v>
      </c>
      <c r="G241" s="13" t="s">
        <v>628</v>
      </c>
      <c r="H241" s="13" t="s">
        <v>966</v>
      </c>
      <c r="I241" s="13" t="s">
        <v>1094</v>
      </c>
      <c r="J241" s="13" t="s">
        <v>1095</v>
      </c>
      <c r="K241" s="14"/>
      <c r="L241" s="14" t="s">
        <v>31</v>
      </c>
      <c r="M241" s="14"/>
      <c r="N241" s="14"/>
      <c r="O241" s="14"/>
    </row>
    <row r="242" spans="1:15" ht="26.4" x14ac:dyDescent="0.3">
      <c r="A242" s="12" t="s">
        <v>1096</v>
      </c>
      <c r="B242" s="13" t="s">
        <v>42</v>
      </c>
      <c r="C242" s="13" t="s">
        <v>1097</v>
      </c>
      <c r="D242" s="13" t="s">
        <v>108</v>
      </c>
      <c r="E242" s="13" t="s">
        <v>67</v>
      </c>
      <c r="F242" s="13" t="s">
        <v>78</v>
      </c>
      <c r="G242" s="13" t="s">
        <v>628</v>
      </c>
      <c r="H242" s="13" t="s">
        <v>1098</v>
      </c>
      <c r="I242" s="13" t="s">
        <v>1099</v>
      </c>
      <c r="J242" s="13" t="s">
        <v>1100</v>
      </c>
      <c r="K242" s="14"/>
      <c r="L242" s="14" t="s">
        <v>31</v>
      </c>
      <c r="M242" s="14"/>
      <c r="N242" s="14"/>
      <c r="O242" s="14"/>
    </row>
    <row r="243" spans="1:15" ht="26.4" x14ac:dyDescent="0.3">
      <c r="A243" s="12" t="s">
        <v>1101</v>
      </c>
      <c r="B243" s="13" t="s">
        <v>42</v>
      </c>
      <c r="C243" s="13" t="s">
        <v>1102</v>
      </c>
      <c r="D243" s="13" t="s">
        <v>951</v>
      </c>
      <c r="E243" s="13" t="s">
        <v>67</v>
      </c>
      <c r="F243" s="13" t="s">
        <v>98</v>
      </c>
      <c r="G243" s="13" t="s">
        <v>628</v>
      </c>
      <c r="H243" s="13" t="s">
        <v>1103</v>
      </c>
      <c r="I243" s="13" t="s">
        <v>1104</v>
      </c>
      <c r="J243" s="13" t="s">
        <v>1105</v>
      </c>
      <c r="K243" s="14"/>
      <c r="L243" s="14" t="s">
        <v>31</v>
      </c>
      <c r="M243" s="14"/>
      <c r="N243" s="14"/>
      <c r="O243" s="14"/>
    </row>
    <row r="244" spans="1:15" ht="66" x14ac:dyDescent="0.3">
      <c r="A244" s="12" t="s">
        <v>1106</v>
      </c>
      <c r="B244" s="13" t="s">
        <v>43</v>
      </c>
      <c r="C244" s="13" t="s">
        <v>1107</v>
      </c>
      <c r="D244" s="13" t="s">
        <v>140</v>
      </c>
      <c r="E244" s="13" t="s">
        <v>135</v>
      </c>
      <c r="F244" s="13" t="s">
        <v>68</v>
      </c>
      <c r="G244" s="13" t="s">
        <v>69</v>
      </c>
      <c r="H244" s="13" t="s">
        <v>1108</v>
      </c>
      <c r="I244" s="13" t="s">
        <v>1109</v>
      </c>
      <c r="J244" s="13" t="s">
        <v>1110</v>
      </c>
      <c r="K244" s="14"/>
      <c r="L244" s="14" t="s">
        <v>31</v>
      </c>
      <c r="M244" s="14"/>
      <c r="N244" s="14"/>
      <c r="O244" s="14"/>
    </row>
    <row r="245" spans="1:15" ht="39.6" x14ac:dyDescent="0.3">
      <c r="A245" s="12" t="s">
        <v>1111</v>
      </c>
      <c r="B245" s="13" t="s">
        <v>43</v>
      </c>
      <c r="C245" s="13" t="s">
        <v>1112</v>
      </c>
      <c r="D245" s="13" t="s">
        <v>1113</v>
      </c>
      <c r="E245" s="13" t="s">
        <v>135</v>
      </c>
      <c r="F245" s="13" t="s">
        <v>68</v>
      </c>
      <c r="G245" s="13" t="s">
        <v>69</v>
      </c>
      <c r="H245" s="13" t="s">
        <v>1114</v>
      </c>
      <c r="I245" s="13" t="s">
        <v>1115</v>
      </c>
      <c r="J245" s="13" t="s">
        <v>1116</v>
      </c>
      <c r="K245" s="14"/>
      <c r="L245" s="14" t="s">
        <v>31</v>
      </c>
      <c r="M245" s="14"/>
      <c r="N245" s="14"/>
      <c r="O245" s="14"/>
    </row>
    <row r="246" spans="1:15" ht="39.6" x14ac:dyDescent="0.3">
      <c r="A246" s="12" t="s">
        <v>1117</v>
      </c>
      <c r="B246" s="13" t="s">
        <v>43</v>
      </c>
      <c r="C246" s="13" t="s">
        <v>1118</v>
      </c>
      <c r="D246" s="13" t="s">
        <v>1119</v>
      </c>
      <c r="E246" s="13" t="s">
        <v>97</v>
      </c>
      <c r="F246" s="13" t="s">
        <v>78</v>
      </c>
      <c r="G246" s="13" t="s">
        <v>69</v>
      </c>
      <c r="H246" s="13" t="s">
        <v>1120</v>
      </c>
      <c r="I246" s="13" t="s">
        <v>1121</v>
      </c>
      <c r="J246" s="13" t="s">
        <v>1122</v>
      </c>
      <c r="K246" s="14"/>
      <c r="L246" s="14" t="s">
        <v>31</v>
      </c>
      <c r="M246" s="14"/>
      <c r="N246" s="14"/>
      <c r="O246" s="14"/>
    </row>
    <row r="247" spans="1:15" ht="39.6" x14ac:dyDescent="0.3">
      <c r="A247" s="12" t="s">
        <v>1123</v>
      </c>
      <c r="B247" s="13" t="s">
        <v>43</v>
      </c>
      <c r="C247" s="13" t="s">
        <v>1124</v>
      </c>
      <c r="D247" s="13" t="s">
        <v>140</v>
      </c>
      <c r="E247" s="13" t="s">
        <v>67</v>
      </c>
      <c r="F247" s="13" t="s">
        <v>68</v>
      </c>
      <c r="G247" s="13" t="s">
        <v>69</v>
      </c>
      <c r="H247" s="13" t="s">
        <v>1125</v>
      </c>
      <c r="I247" s="13" t="s">
        <v>1126</v>
      </c>
      <c r="J247" s="13" t="s">
        <v>1127</v>
      </c>
      <c r="K247" s="14"/>
      <c r="L247" s="14" t="s">
        <v>31</v>
      </c>
      <c r="M247" s="14"/>
      <c r="N247" s="14"/>
      <c r="O247" s="14"/>
    </row>
    <row r="248" spans="1:15" ht="26.4" x14ac:dyDescent="0.3">
      <c r="A248" s="12" t="s">
        <v>1128</v>
      </c>
      <c r="B248" s="13" t="s">
        <v>43</v>
      </c>
      <c r="C248" s="13" t="s">
        <v>1129</v>
      </c>
      <c r="D248" s="13" t="s">
        <v>140</v>
      </c>
      <c r="E248" s="13" t="s">
        <v>67</v>
      </c>
      <c r="F248" s="13" t="s">
        <v>68</v>
      </c>
      <c r="G248" s="13" t="s">
        <v>69</v>
      </c>
      <c r="H248" s="13" t="s">
        <v>1130</v>
      </c>
      <c r="I248" s="13" t="s">
        <v>1131</v>
      </c>
      <c r="J248" s="13" t="s">
        <v>1132</v>
      </c>
      <c r="K248" s="14"/>
      <c r="L248" s="14" t="s">
        <v>31</v>
      </c>
      <c r="M248" s="14"/>
      <c r="N248" s="14"/>
      <c r="O248" s="14"/>
    </row>
    <row r="249" spans="1:15" ht="26.4" x14ac:dyDescent="0.3">
      <c r="A249" s="12" t="s">
        <v>1133</v>
      </c>
      <c r="B249" s="13" t="s">
        <v>43</v>
      </c>
      <c r="C249" s="13" t="s">
        <v>1134</v>
      </c>
      <c r="D249" s="13" t="s">
        <v>587</v>
      </c>
      <c r="E249" s="13" t="s">
        <v>67</v>
      </c>
      <c r="F249" s="13" t="s">
        <v>78</v>
      </c>
      <c r="G249" s="13" t="s">
        <v>69</v>
      </c>
      <c r="H249" s="13" t="s">
        <v>1135</v>
      </c>
      <c r="I249" s="13" t="s">
        <v>532</v>
      </c>
      <c r="J249" s="13" t="s">
        <v>1136</v>
      </c>
      <c r="K249" s="14"/>
      <c r="L249" s="14" t="s">
        <v>31</v>
      </c>
      <c r="M249" s="14"/>
      <c r="N249" s="14"/>
      <c r="O249" s="14"/>
    </row>
    <row r="250" spans="1:15" ht="26.4" x14ac:dyDescent="0.3">
      <c r="A250" s="12" t="s">
        <v>1137</v>
      </c>
      <c r="B250" s="13" t="s">
        <v>43</v>
      </c>
      <c r="C250" s="13" t="s">
        <v>1138</v>
      </c>
      <c r="D250" s="13" t="s">
        <v>587</v>
      </c>
      <c r="E250" s="13" t="s">
        <v>67</v>
      </c>
      <c r="F250" s="13" t="s">
        <v>78</v>
      </c>
      <c r="G250" s="13" t="s">
        <v>69</v>
      </c>
      <c r="H250" s="13" t="s">
        <v>1139</v>
      </c>
      <c r="I250" s="13" t="s">
        <v>1140</v>
      </c>
      <c r="J250" s="13" t="s">
        <v>1141</v>
      </c>
      <c r="K250" s="14"/>
      <c r="L250" s="14" t="s">
        <v>31</v>
      </c>
      <c r="M250" s="14"/>
      <c r="N250" s="14"/>
      <c r="O250" s="14"/>
    </row>
    <row r="251" spans="1:15" ht="26.4" x14ac:dyDescent="0.3">
      <c r="A251" s="12" t="s">
        <v>1142</v>
      </c>
      <c r="B251" s="13" t="s">
        <v>43</v>
      </c>
      <c r="C251" s="13" t="s">
        <v>1143</v>
      </c>
      <c r="D251" s="13" t="s">
        <v>66</v>
      </c>
      <c r="E251" s="13" t="s">
        <v>67</v>
      </c>
      <c r="F251" s="13" t="s">
        <v>78</v>
      </c>
      <c r="G251" s="13" t="s">
        <v>69</v>
      </c>
      <c r="H251" s="13" t="s">
        <v>1144</v>
      </c>
      <c r="I251" s="13" t="s">
        <v>1145</v>
      </c>
      <c r="J251" s="13" t="s">
        <v>1146</v>
      </c>
      <c r="K251" s="14"/>
      <c r="L251" s="14" t="s">
        <v>31</v>
      </c>
      <c r="M251" s="14"/>
      <c r="N251" s="14"/>
      <c r="O251" s="14"/>
    </row>
    <row r="252" spans="1:15" ht="52.8" x14ac:dyDescent="0.3">
      <c r="A252" s="12" t="s">
        <v>1147</v>
      </c>
      <c r="B252" s="13" t="s">
        <v>43</v>
      </c>
      <c r="C252" s="13" t="s">
        <v>1148</v>
      </c>
      <c r="D252" s="13" t="s">
        <v>108</v>
      </c>
      <c r="E252" s="13" t="s">
        <v>97</v>
      </c>
      <c r="F252" s="13" t="s">
        <v>78</v>
      </c>
      <c r="G252" s="13" t="s">
        <v>69</v>
      </c>
      <c r="H252" s="13" t="s">
        <v>66</v>
      </c>
      <c r="I252" s="13" t="s">
        <v>1149</v>
      </c>
      <c r="J252" s="13" t="s">
        <v>1150</v>
      </c>
      <c r="K252" s="14"/>
      <c r="L252" s="14" t="s">
        <v>31</v>
      </c>
      <c r="M252" s="14"/>
      <c r="N252" s="14"/>
      <c r="O252" s="14"/>
    </row>
    <row r="253" spans="1:15" ht="118.8" x14ac:dyDescent="0.3">
      <c r="A253" s="12" t="s">
        <v>1151</v>
      </c>
      <c r="B253" s="13" t="s">
        <v>44</v>
      </c>
      <c r="C253" s="13" t="s">
        <v>1152</v>
      </c>
      <c r="D253" s="13" t="s">
        <v>384</v>
      </c>
      <c r="E253" s="13" t="s">
        <v>135</v>
      </c>
      <c r="F253" s="13" t="s">
        <v>68</v>
      </c>
      <c r="G253" s="13" t="s">
        <v>628</v>
      </c>
      <c r="H253" s="13" t="s">
        <v>1153</v>
      </c>
      <c r="I253" s="13" t="s">
        <v>1154</v>
      </c>
      <c r="J253" s="13" t="s">
        <v>1155</v>
      </c>
      <c r="K253" s="14"/>
      <c r="L253" s="14" t="s">
        <v>31</v>
      </c>
      <c r="M253" s="14"/>
      <c r="N253" s="14"/>
      <c r="O253" s="14"/>
    </row>
    <row r="254" spans="1:15" ht="66" x14ac:dyDescent="0.3">
      <c r="A254" s="12" t="s">
        <v>1156</v>
      </c>
      <c r="B254" s="13" t="s">
        <v>44</v>
      </c>
      <c r="C254" s="13" t="s">
        <v>1157</v>
      </c>
      <c r="D254" s="13" t="s">
        <v>108</v>
      </c>
      <c r="E254" s="13" t="s">
        <v>135</v>
      </c>
      <c r="F254" s="13" t="s">
        <v>68</v>
      </c>
      <c r="G254" s="13" t="s">
        <v>628</v>
      </c>
      <c r="H254" s="13" t="s">
        <v>1158</v>
      </c>
      <c r="I254" s="13" t="s">
        <v>1159</v>
      </c>
      <c r="J254" s="13" t="s">
        <v>1160</v>
      </c>
      <c r="K254" s="14"/>
      <c r="L254" s="14" t="s">
        <v>31</v>
      </c>
      <c r="M254" s="14"/>
      <c r="N254" s="14"/>
      <c r="O254" s="14"/>
    </row>
    <row r="255" spans="1:15" ht="39.6" x14ac:dyDescent="0.3">
      <c r="A255" s="12" t="s">
        <v>1161</v>
      </c>
      <c r="B255" s="13" t="s">
        <v>44</v>
      </c>
      <c r="C255" s="13" t="s">
        <v>1162</v>
      </c>
      <c r="D255" s="13" t="s">
        <v>108</v>
      </c>
      <c r="E255" s="13" t="s">
        <v>135</v>
      </c>
      <c r="F255" s="13" t="s">
        <v>78</v>
      </c>
      <c r="G255" s="13" t="s">
        <v>69</v>
      </c>
      <c r="H255" s="13" t="s">
        <v>1158</v>
      </c>
      <c r="I255" s="13" t="s">
        <v>1163</v>
      </c>
      <c r="J255" s="13" t="s">
        <v>1164</v>
      </c>
      <c r="K255" s="14"/>
      <c r="L255" s="14" t="s">
        <v>31</v>
      </c>
      <c r="M255" s="14"/>
      <c r="N255" s="14"/>
      <c r="O255" s="14"/>
    </row>
    <row r="256" spans="1:15" ht="66" x14ac:dyDescent="0.3">
      <c r="A256" s="12" t="s">
        <v>1165</v>
      </c>
      <c r="B256" s="13" t="s">
        <v>44</v>
      </c>
      <c r="C256" s="13" t="s">
        <v>1166</v>
      </c>
      <c r="D256" s="13" t="s">
        <v>384</v>
      </c>
      <c r="E256" s="13" t="s">
        <v>135</v>
      </c>
      <c r="F256" s="13" t="s">
        <v>68</v>
      </c>
      <c r="G256" s="13" t="s">
        <v>628</v>
      </c>
      <c r="H256" s="13" t="s">
        <v>1158</v>
      </c>
      <c r="I256" s="13" t="s">
        <v>1167</v>
      </c>
      <c r="J256" s="13" t="s">
        <v>1168</v>
      </c>
      <c r="K256" s="14"/>
      <c r="L256" s="14" t="s">
        <v>31</v>
      </c>
      <c r="M256" s="14"/>
      <c r="N256" s="14"/>
      <c r="O256" s="14"/>
    </row>
    <row r="257" spans="1:15" ht="26.4" x14ac:dyDescent="0.3">
      <c r="A257" s="12" t="s">
        <v>1169</v>
      </c>
      <c r="B257" s="13" t="s">
        <v>44</v>
      </c>
      <c r="C257" s="13" t="s">
        <v>1170</v>
      </c>
      <c r="D257" s="13" t="s">
        <v>108</v>
      </c>
      <c r="E257" s="13" t="s">
        <v>135</v>
      </c>
      <c r="F257" s="13" t="s">
        <v>78</v>
      </c>
      <c r="G257" s="13" t="s">
        <v>628</v>
      </c>
      <c r="H257" s="13" t="s">
        <v>1158</v>
      </c>
      <c r="I257" s="13" t="s">
        <v>1171</v>
      </c>
      <c r="J257" s="13" t="s">
        <v>1172</v>
      </c>
      <c r="K257" s="14"/>
      <c r="L257" s="14" t="s">
        <v>31</v>
      </c>
      <c r="M257" s="14"/>
      <c r="N257" s="14"/>
      <c r="O257" s="14"/>
    </row>
    <row r="258" spans="1:15" ht="39.6" x14ac:dyDescent="0.3">
      <c r="A258" s="12" t="s">
        <v>1173</v>
      </c>
      <c r="B258" s="13" t="s">
        <v>44</v>
      </c>
      <c r="C258" s="13" t="s">
        <v>1174</v>
      </c>
      <c r="D258" s="13" t="s">
        <v>108</v>
      </c>
      <c r="E258" s="13" t="s">
        <v>135</v>
      </c>
      <c r="F258" s="13" t="s">
        <v>78</v>
      </c>
      <c r="G258" s="13" t="s">
        <v>69</v>
      </c>
      <c r="H258" s="13" t="s">
        <v>1175</v>
      </c>
      <c r="I258" s="13" t="s">
        <v>1176</v>
      </c>
      <c r="J258" s="13" t="s">
        <v>1177</v>
      </c>
      <c r="K258" s="14"/>
      <c r="L258" s="14" t="s">
        <v>31</v>
      </c>
      <c r="M258" s="14"/>
      <c r="N258" s="14"/>
      <c r="O258" s="14"/>
    </row>
    <row r="259" spans="1:15" ht="26.4" x14ac:dyDescent="0.3">
      <c r="A259" s="12" t="s">
        <v>1178</v>
      </c>
      <c r="B259" s="13" t="s">
        <v>44</v>
      </c>
      <c r="C259" s="13" t="s">
        <v>1179</v>
      </c>
      <c r="D259" s="13" t="s">
        <v>108</v>
      </c>
      <c r="E259" s="13" t="s">
        <v>135</v>
      </c>
      <c r="F259" s="13" t="s">
        <v>78</v>
      </c>
      <c r="G259" s="13" t="s">
        <v>628</v>
      </c>
      <c r="H259" s="13" t="s">
        <v>804</v>
      </c>
      <c r="I259" s="13" t="s">
        <v>1180</v>
      </c>
      <c r="J259" s="13" t="s">
        <v>1181</v>
      </c>
      <c r="K259" s="14"/>
      <c r="L259" s="14" t="s">
        <v>31</v>
      </c>
      <c r="M259" s="14"/>
      <c r="N259" s="14"/>
      <c r="O259" s="14"/>
    </row>
    <row r="260" spans="1:15" ht="52.8" x14ac:dyDescent="0.3">
      <c r="A260" s="12" t="s">
        <v>1182</v>
      </c>
      <c r="B260" s="13" t="s">
        <v>44</v>
      </c>
      <c r="C260" s="13" t="s">
        <v>1183</v>
      </c>
      <c r="D260" s="13" t="s">
        <v>108</v>
      </c>
      <c r="E260" s="13" t="s">
        <v>135</v>
      </c>
      <c r="F260" s="13" t="s">
        <v>78</v>
      </c>
      <c r="G260" s="13" t="s">
        <v>628</v>
      </c>
      <c r="H260" s="13" t="s">
        <v>1184</v>
      </c>
      <c r="I260" s="13" t="s">
        <v>1185</v>
      </c>
      <c r="J260" s="13" t="s">
        <v>1186</v>
      </c>
      <c r="K260" s="14"/>
      <c r="L260" s="14" t="s">
        <v>31</v>
      </c>
      <c r="M260" s="14"/>
      <c r="N260" s="14"/>
      <c r="O260" s="14"/>
    </row>
    <row r="261" spans="1:15" ht="39.6" x14ac:dyDescent="0.3">
      <c r="A261" s="12" t="s">
        <v>1187</v>
      </c>
      <c r="B261" s="13" t="s">
        <v>44</v>
      </c>
      <c r="C261" s="13" t="s">
        <v>1188</v>
      </c>
      <c r="D261" s="13" t="s">
        <v>108</v>
      </c>
      <c r="E261" s="13" t="s">
        <v>135</v>
      </c>
      <c r="F261" s="13" t="s">
        <v>78</v>
      </c>
      <c r="G261" s="13" t="s">
        <v>69</v>
      </c>
      <c r="H261" s="13" t="s">
        <v>1158</v>
      </c>
      <c r="I261" s="13" t="s">
        <v>1189</v>
      </c>
      <c r="J261" s="13" t="s">
        <v>1190</v>
      </c>
      <c r="K261" s="14"/>
      <c r="L261" s="14" t="s">
        <v>31</v>
      </c>
      <c r="M261" s="14"/>
      <c r="N261" s="14"/>
      <c r="O261" s="14"/>
    </row>
    <row r="262" spans="1:15" ht="39.6" x14ac:dyDescent="0.3">
      <c r="A262" s="12" t="s">
        <v>1191</v>
      </c>
      <c r="B262" s="13" t="s">
        <v>44</v>
      </c>
      <c r="C262" s="13" t="s">
        <v>1192</v>
      </c>
      <c r="D262" s="13" t="s">
        <v>384</v>
      </c>
      <c r="E262" s="13" t="s">
        <v>179</v>
      </c>
      <c r="F262" s="13" t="s">
        <v>78</v>
      </c>
      <c r="G262" s="13" t="s">
        <v>69</v>
      </c>
      <c r="H262" s="13" t="s">
        <v>1158</v>
      </c>
      <c r="I262" s="13" t="s">
        <v>1193</v>
      </c>
      <c r="J262" s="13" t="s">
        <v>1194</v>
      </c>
      <c r="K262" s="14"/>
      <c r="L262" s="14" t="s">
        <v>31</v>
      </c>
      <c r="M262" s="14"/>
      <c r="N262" s="14"/>
      <c r="O262" s="14"/>
    </row>
    <row r="263" spans="1:15" ht="52.8" x14ac:dyDescent="0.3">
      <c r="A263" s="12" t="s">
        <v>1195</v>
      </c>
      <c r="B263" s="13" t="s">
        <v>45</v>
      </c>
      <c r="C263" s="13" t="s">
        <v>1196</v>
      </c>
      <c r="D263" s="13" t="s">
        <v>108</v>
      </c>
      <c r="E263" s="13" t="s">
        <v>67</v>
      </c>
      <c r="F263" s="13" t="s">
        <v>68</v>
      </c>
      <c r="G263" s="13" t="s">
        <v>69</v>
      </c>
      <c r="H263" s="13" t="s">
        <v>1197</v>
      </c>
      <c r="I263" s="13" t="s">
        <v>1198</v>
      </c>
      <c r="J263" s="13" t="s">
        <v>1199</v>
      </c>
      <c r="K263" s="14"/>
      <c r="L263" s="14" t="s">
        <v>31</v>
      </c>
      <c r="M263" s="14"/>
      <c r="N263" s="14"/>
      <c r="O263" s="14"/>
    </row>
    <row r="264" spans="1:15" ht="39.6" x14ac:dyDescent="0.3">
      <c r="A264" s="12" t="s">
        <v>1200</v>
      </c>
      <c r="B264" s="13" t="s">
        <v>45</v>
      </c>
      <c r="C264" s="13" t="s">
        <v>1196</v>
      </c>
      <c r="D264" s="13" t="s">
        <v>108</v>
      </c>
      <c r="E264" s="13" t="s">
        <v>67</v>
      </c>
      <c r="F264" s="13" t="s">
        <v>78</v>
      </c>
      <c r="G264" s="13" t="s">
        <v>69</v>
      </c>
      <c r="H264" s="13" t="s">
        <v>1201</v>
      </c>
      <c r="I264" s="13" t="s">
        <v>1202</v>
      </c>
      <c r="J264" s="13" t="s">
        <v>1203</v>
      </c>
      <c r="K264" s="14"/>
      <c r="L264" s="14" t="s">
        <v>31</v>
      </c>
      <c r="M264" s="14"/>
      <c r="N264" s="14"/>
      <c r="O264" s="14"/>
    </row>
    <row r="265" spans="1:15" ht="39.6" x14ac:dyDescent="0.3">
      <c r="A265" s="12" t="s">
        <v>1204</v>
      </c>
      <c r="B265" s="13" t="s">
        <v>45</v>
      </c>
      <c r="C265" s="13" t="s">
        <v>1205</v>
      </c>
      <c r="D265" s="13" t="s">
        <v>108</v>
      </c>
      <c r="E265" s="13" t="s">
        <v>67</v>
      </c>
      <c r="F265" s="13" t="s">
        <v>68</v>
      </c>
      <c r="G265" s="13" t="s">
        <v>69</v>
      </c>
      <c r="H265" s="13" t="s">
        <v>1206</v>
      </c>
      <c r="I265" s="13" t="s">
        <v>1207</v>
      </c>
      <c r="J265" s="13" t="s">
        <v>1208</v>
      </c>
      <c r="K265" s="14"/>
      <c r="L265" s="14" t="s">
        <v>31</v>
      </c>
      <c r="M265" s="14"/>
      <c r="N265" s="14"/>
      <c r="O265" s="14"/>
    </row>
    <row r="266" spans="1:15" ht="39.6" x14ac:dyDescent="0.3">
      <c r="A266" s="12" t="s">
        <v>1209</v>
      </c>
      <c r="B266" s="13" t="s">
        <v>45</v>
      </c>
      <c r="C266" s="13" t="s">
        <v>1210</v>
      </c>
      <c r="D266" s="13" t="s">
        <v>108</v>
      </c>
      <c r="E266" s="13" t="s">
        <v>67</v>
      </c>
      <c r="F266" s="13" t="s">
        <v>78</v>
      </c>
      <c r="G266" s="13" t="s">
        <v>69</v>
      </c>
      <c r="H266" s="13" t="s">
        <v>1211</v>
      </c>
      <c r="I266" s="13" t="s">
        <v>1212</v>
      </c>
      <c r="J266" s="13" t="s">
        <v>1213</v>
      </c>
      <c r="K266" s="14"/>
      <c r="L266" s="14" t="s">
        <v>31</v>
      </c>
      <c r="M266" s="14"/>
      <c r="N266" s="14"/>
      <c r="O266" s="14"/>
    </row>
    <row r="267" spans="1:15" ht="39.6" x14ac:dyDescent="0.3">
      <c r="A267" s="12" t="s">
        <v>1214</v>
      </c>
      <c r="B267" s="13" t="s">
        <v>45</v>
      </c>
      <c r="C267" s="13" t="s">
        <v>1215</v>
      </c>
      <c r="D267" s="13" t="s">
        <v>108</v>
      </c>
      <c r="E267" s="13" t="s">
        <v>67</v>
      </c>
      <c r="F267" s="13" t="s">
        <v>78</v>
      </c>
      <c r="G267" s="13" t="s">
        <v>69</v>
      </c>
      <c r="H267" s="13" t="s">
        <v>1216</v>
      </c>
      <c r="I267" s="13" t="s">
        <v>1217</v>
      </c>
      <c r="J267" s="13" t="s">
        <v>1218</v>
      </c>
      <c r="K267" s="14"/>
      <c r="L267" s="14" t="s">
        <v>31</v>
      </c>
      <c r="M267" s="14"/>
      <c r="N267" s="14"/>
      <c r="O267" s="14"/>
    </row>
    <row r="268" spans="1:15" ht="39.6" x14ac:dyDescent="0.3">
      <c r="A268" s="12" t="s">
        <v>1219</v>
      </c>
      <c r="B268" s="13" t="s">
        <v>45</v>
      </c>
      <c r="C268" s="13" t="s">
        <v>1220</v>
      </c>
      <c r="D268" s="13" t="s">
        <v>108</v>
      </c>
      <c r="E268" s="13" t="s">
        <v>67</v>
      </c>
      <c r="F268" s="13" t="s">
        <v>68</v>
      </c>
      <c r="G268" s="13" t="s">
        <v>69</v>
      </c>
      <c r="H268" s="13" t="s">
        <v>1221</v>
      </c>
      <c r="I268" s="13" t="s">
        <v>137</v>
      </c>
      <c r="J268" s="13" t="s">
        <v>1222</v>
      </c>
      <c r="K268" s="14"/>
      <c r="L268" s="14" t="s">
        <v>31</v>
      </c>
      <c r="M268" s="14"/>
      <c r="N268" s="14"/>
      <c r="O268" s="14"/>
    </row>
    <row r="269" spans="1:15" ht="39.6" x14ac:dyDescent="0.3">
      <c r="A269" s="12" t="s">
        <v>1223</v>
      </c>
      <c r="B269" s="13" t="s">
        <v>45</v>
      </c>
      <c r="C269" s="13" t="s">
        <v>1224</v>
      </c>
      <c r="D269" s="13" t="s">
        <v>108</v>
      </c>
      <c r="E269" s="13" t="s">
        <v>67</v>
      </c>
      <c r="F269" s="13" t="s">
        <v>98</v>
      </c>
      <c r="G269" s="13" t="s">
        <v>69</v>
      </c>
      <c r="H269" s="13" t="s">
        <v>1225</v>
      </c>
      <c r="I269" s="13" t="s">
        <v>137</v>
      </c>
      <c r="J269" s="13" t="s">
        <v>1226</v>
      </c>
      <c r="K269" s="14"/>
      <c r="L269" s="14" t="s">
        <v>31</v>
      </c>
      <c r="M269" s="14"/>
      <c r="N269" s="14"/>
      <c r="O269" s="14"/>
    </row>
    <row r="270" spans="1:15" ht="39.6" x14ac:dyDescent="0.3">
      <c r="A270" s="12" t="s">
        <v>1227</v>
      </c>
      <c r="B270" s="13" t="s">
        <v>45</v>
      </c>
      <c r="C270" s="13" t="s">
        <v>1228</v>
      </c>
      <c r="D270" s="13" t="s">
        <v>108</v>
      </c>
      <c r="E270" s="13" t="s">
        <v>67</v>
      </c>
      <c r="F270" s="13" t="s">
        <v>68</v>
      </c>
      <c r="G270" s="13" t="s">
        <v>69</v>
      </c>
      <c r="H270" s="13" t="s">
        <v>1229</v>
      </c>
      <c r="I270" s="13" t="s">
        <v>1230</v>
      </c>
      <c r="J270" s="13" t="s">
        <v>1231</v>
      </c>
      <c r="K270" s="14"/>
      <c r="L270" s="14" t="s">
        <v>31</v>
      </c>
      <c r="M270" s="14"/>
      <c r="N270" s="14"/>
      <c r="O270" s="14"/>
    </row>
    <row r="271" spans="1:15" ht="39.6" x14ac:dyDescent="0.3">
      <c r="A271" s="12" t="s">
        <v>1232</v>
      </c>
      <c r="B271" s="13" t="s">
        <v>45</v>
      </c>
      <c r="C271" s="13" t="s">
        <v>1233</v>
      </c>
      <c r="D271" s="13" t="s">
        <v>108</v>
      </c>
      <c r="E271" s="13" t="s">
        <v>67</v>
      </c>
      <c r="F271" s="13" t="s">
        <v>98</v>
      </c>
      <c r="G271" s="13" t="s">
        <v>69</v>
      </c>
      <c r="H271" s="13" t="s">
        <v>1234</v>
      </c>
      <c r="I271" s="13" t="s">
        <v>1235</v>
      </c>
      <c r="J271" s="13" t="s">
        <v>1236</v>
      </c>
      <c r="K271" s="14"/>
      <c r="L271" s="14" t="s">
        <v>31</v>
      </c>
      <c r="M271" s="14"/>
      <c r="N271" s="14"/>
      <c r="O271" s="14"/>
    </row>
    <row r="272" spans="1:15" ht="39.6" x14ac:dyDescent="0.3">
      <c r="A272" s="12" t="s">
        <v>1237</v>
      </c>
      <c r="B272" s="13" t="s">
        <v>45</v>
      </c>
      <c r="C272" s="13" t="s">
        <v>1238</v>
      </c>
      <c r="D272" s="13" t="s">
        <v>108</v>
      </c>
      <c r="E272" s="13" t="s">
        <v>97</v>
      </c>
      <c r="F272" s="13" t="s">
        <v>78</v>
      </c>
      <c r="G272" s="13" t="s">
        <v>69</v>
      </c>
      <c r="H272" s="13" t="s">
        <v>1239</v>
      </c>
      <c r="I272" s="13" t="s">
        <v>1240</v>
      </c>
      <c r="J272" s="13" t="s">
        <v>1241</v>
      </c>
      <c r="K272" s="14"/>
      <c r="L272" s="14" t="s">
        <v>31</v>
      </c>
      <c r="M272" s="14"/>
      <c r="N272" s="14"/>
      <c r="O272" s="14"/>
    </row>
    <row r="273" spans="1:15" ht="39.6" x14ac:dyDescent="0.3">
      <c r="A273" s="12" t="s">
        <v>1242</v>
      </c>
      <c r="B273" s="13" t="s">
        <v>45</v>
      </c>
      <c r="C273" s="13" t="s">
        <v>1243</v>
      </c>
      <c r="D273" s="13" t="s">
        <v>108</v>
      </c>
      <c r="E273" s="13" t="s">
        <v>179</v>
      </c>
      <c r="F273" s="13" t="s">
        <v>98</v>
      </c>
      <c r="G273" s="13" t="s">
        <v>69</v>
      </c>
      <c r="H273" s="13" t="s">
        <v>1244</v>
      </c>
      <c r="I273" s="13" t="s">
        <v>1245</v>
      </c>
      <c r="J273" s="13" t="s">
        <v>1246</v>
      </c>
      <c r="K273" s="14"/>
      <c r="L273" s="14" t="s">
        <v>31</v>
      </c>
      <c r="M273" s="14"/>
      <c r="N273" s="14"/>
      <c r="O273" s="14"/>
    </row>
    <row r="274" spans="1:15" ht="39.6" x14ac:dyDescent="0.3">
      <c r="A274" s="12" t="s">
        <v>1247</v>
      </c>
      <c r="B274" s="13" t="s">
        <v>45</v>
      </c>
      <c r="C274" s="13" t="s">
        <v>1248</v>
      </c>
      <c r="D274" s="13" t="s">
        <v>108</v>
      </c>
      <c r="E274" s="13" t="s">
        <v>67</v>
      </c>
      <c r="F274" s="13" t="s">
        <v>78</v>
      </c>
      <c r="G274" s="13" t="s">
        <v>69</v>
      </c>
      <c r="H274" s="13" t="s">
        <v>1249</v>
      </c>
      <c r="I274" s="13" t="s">
        <v>1250</v>
      </c>
      <c r="J274" s="13" t="s">
        <v>1251</v>
      </c>
      <c r="K274" s="14"/>
      <c r="L274" s="14" t="s">
        <v>31</v>
      </c>
      <c r="M274" s="14"/>
      <c r="N274" s="14"/>
      <c r="O274" s="14"/>
    </row>
    <row r="275" spans="1:15" ht="39.6" x14ac:dyDescent="0.3">
      <c r="A275" s="12" t="s">
        <v>1252</v>
      </c>
      <c r="B275" s="13" t="s">
        <v>45</v>
      </c>
      <c r="C275" s="13" t="s">
        <v>1253</v>
      </c>
      <c r="D275" s="13" t="s">
        <v>108</v>
      </c>
      <c r="E275" s="13" t="s">
        <v>67</v>
      </c>
      <c r="F275" s="13" t="s">
        <v>98</v>
      </c>
      <c r="G275" s="13" t="s">
        <v>69</v>
      </c>
      <c r="H275" s="13" t="s">
        <v>1254</v>
      </c>
      <c r="I275" s="13" t="s">
        <v>1255</v>
      </c>
      <c r="J275" s="13" t="s">
        <v>1256</v>
      </c>
      <c r="K275" s="14"/>
      <c r="L275" s="14" t="s">
        <v>31</v>
      </c>
      <c r="M275" s="14"/>
      <c r="N275" s="14"/>
      <c r="O275" s="14"/>
    </row>
    <row r="276" spans="1:15" ht="39.6" x14ac:dyDescent="0.3">
      <c r="A276" s="12" t="s">
        <v>1257</v>
      </c>
      <c r="B276" s="13" t="s">
        <v>45</v>
      </c>
      <c r="C276" s="13" t="s">
        <v>1258</v>
      </c>
      <c r="D276" s="13" t="s">
        <v>108</v>
      </c>
      <c r="E276" s="13" t="s">
        <v>67</v>
      </c>
      <c r="F276" s="13" t="s">
        <v>78</v>
      </c>
      <c r="G276" s="13" t="s">
        <v>69</v>
      </c>
      <c r="H276" s="13" t="s">
        <v>66</v>
      </c>
      <c r="I276" s="13" t="s">
        <v>1259</v>
      </c>
      <c r="J276" s="13" t="s">
        <v>1260</v>
      </c>
      <c r="K276" s="14"/>
      <c r="L276" s="14" t="s">
        <v>31</v>
      </c>
      <c r="M276" s="14"/>
      <c r="N276" s="14"/>
      <c r="O276" s="14"/>
    </row>
    <row r="277" spans="1:15" ht="39.6" x14ac:dyDescent="0.3">
      <c r="A277" s="12" t="s">
        <v>1261</v>
      </c>
      <c r="B277" s="13" t="s">
        <v>45</v>
      </c>
      <c r="C277" s="13" t="s">
        <v>1262</v>
      </c>
      <c r="D277" s="13" t="s">
        <v>108</v>
      </c>
      <c r="E277" s="13" t="s">
        <v>67</v>
      </c>
      <c r="F277" s="13" t="s">
        <v>78</v>
      </c>
      <c r="G277" s="13" t="s">
        <v>69</v>
      </c>
      <c r="H277" s="13" t="s">
        <v>1263</v>
      </c>
      <c r="I277" s="13" t="s">
        <v>1264</v>
      </c>
      <c r="J277" s="13" t="s">
        <v>1265</v>
      </c>
      <c r="K277" s="14"/>
      <c r="L277" s="14" t="s">
        <v>31</v>
      </c>
      <c r="M277" s="14"/>
      <c r="N277" s="14"/>
      <c r="O277" s="14"/>
    </row>
    <row r="278" spans="1:15" ht="39.6" x14ac:dyDescent="0.3">
      <c r="A278" s="12" t="s">
        <v>1266</v>
      </c>
      <c r="B278" s="13" t="s">
        <v>45</v>
      </c>
      <c r="C278" s="13" t="s">
        <v>1267</v>
      </c>
      <c r="D278" s="13" t="s">
        <v>83</v>
      </c>
      <c r="E278" s="13" t="s">
        <v>67</v>
      </c>
      <c r="F278" s="13" t="s">
        <v>98</v>
      </c>
      <c r="G278" s="13" t="s">
        <v>69</v>
      </c>
      <c r="H278" s="13" t="s">
        <v>1268</v>
      </c>
      <c r="I278" s="13" t="s">
        <v>1269</v>
      </c>
      <c r="J278" s="13" t="s">
        <v>1270</v>
      </c>
      <c r="K278" s="14"/>
      <c r="L278" s="14" t="s">
        <v>31</v>
      </c>
      <c r="M278" s="14"/>
      <c r="N278" s="14"/>
      <c r="O278" s="14"/>
    </row>
  </sheetData>
  <autoFilter ref="A1:O278" xr:uid="{00000000-0009-0000-0000-000002000000}"/>
  <conditionalFormatting sqref="L2:L278">
    <cfRule type="cellIs" dxfId="2" priority="1" operator="equal">
      <formula>"Pass"</formula>
    </cfRule>
    <cfRule type="cellIs" dxfId="1" priority="2" operator="equal">
      <formula>"Fail"</formula>
    </cfRule>
    <cfRule type="cellIs" dxfId="0" priority="3" operator="equal">
      <formula>"Blocked"</formula>
    </cfRule>
  </conditionalFormatting>
  <dataValidations count="1">
    <dataValidation type="list" errorTitle="Status" error="Choose Not Run, Pass, Fail, Blocked or N/A." sqref="L2:L278" xr:uid="{00000000-0002-0000-0200-000000000000}">
      <formula1>"Not Run,Pass,Fail,Blocked,N/A"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9"/>
  <sheetViews>
    <sheetView workbookViewId="0">
      <pane xSplit="2" ySplit="1" topLeftCell="C2" activePane="bottomRight" state="frozen"/>
      <selection pane="topRight"/>
      <selection pane="bottomLeft"/>
      <selection pane="bottomRight"/>
    </sheetView>
  </sheetViews>
  <sheetFormatPr defaultRowHeight="14.4" x14ac:dyDescent="0.3"/>
  <cols>
    <col min="1" max="1" width="6" customWidth="1"/>
    <col min="2" max="2" width="18" customWidth="1"/>
    <col min="3" max="3" width="38" customWidth="1"/>
    <col min="4" max="4" width="70" customWidth="1"/>
    <col min="5" max="5" width="46" customWidth="1"/>
    <col min="6" max="7" width="14" customWidth="1"/>
    <col min="8" max="8" width="30" customWidth="1"/>
  </cols>
  <sheetData>
    <row r="1" spans="1:8" ht="30" customHeight="1" x14ac:dyDescent="0.3">
      <c r="A1" s="6" t="s">
        <v>1271</v>
      </c>
      <c r="B1" s="6" t="s">
        <v>1272</v>
      </c>
      <c r="C1" s="6" t="s">
        <v>1273</v>
      </c>
      <c r="D1" s="6" t="s">
        <v>1274</v>
      </c>
      <c r="E1" s="6" t="s">
        <v>1275</v>
      </c>
      <c r="F1" s="6" t="s">
        <v>1276</v>
      </c>
      <c r="G1" s="6" t="s">
        <v>1277</v>
      </c>
      <c r="H1" s="6" t="s">
        <v>1278</v>
      </c>
    </row>
    <row r="2" spans="1:8" ht="39.6" x14ac:dyDescent="0.3">
      <c r="A2" s="12" t="s">
        <v>1279</v>
      </c>
      <c r="B2" s="13" t="s">
        <v>1280</v>
      </c>
      <c r="C2" s="13" t="s">
        <v>1281</v>
      </c>
      <c r="D2" s="13" t="s">
        <v>1282</v>
      </c>
      <c r="E2" s="13" t="s">
        <v>1283</v>
      </c>
      <c r="F2" s="13" t="s">
        <v>591</v>
      </c>
      <c r="G2" s="14"/>
      <c r="H2" s="14"/>
    </row>
    <row r="3" spans="1:8" ht="52.8" x14ac:dyDescent="0.3">
      <c r="A3" s="12" t="s">
        <v>1284</v>
      </c>
      <c r="B3" s="13" t="s">
        <v>1285</v>
      </c>
      <c r="C3" s="13" t="s">
        <v>1286</v>
      </c>
      <c r="D3" s="13" t="s">
        <v>1287</v>
      </c>
      <c r="E3" s="13" t="s">
        <v>1288</v>
      </c>
      <c r="F3" s="13" t="s">
        <v>499</v>
      </c>
      <c r="G3" s="14"/>
      <c r="H3" s="14"/>
    </row>
    <row r="4" spans="1:8" ht="39.6" x14ac:dyDescent="0.3">
      <c r="A4" s="12" t="s">
        <v>1289</v>
      </c>
      <c r="B4" s="13" t="s">
        <v>1290</v>
      </c>
      <c r="C4" s="13" t="s">
        <v>1291</v>
      </c>
      <c r="D4" s="13" t="s">
        <v>1292</v>
      </c>
      <c r="E4" s="13" t="s">
        <v>1293</v>
      </c>
      <c r="F4" s="13" t="s">
        <v>815</v>
      </c>
      <c r="G4" s="14"/>
      <c r="H4" s="14"/>
    </row>
    <row r="5" spans="1:8" x14ac:dyDescent="0.3">
      <c r="A5" s="12" t="s">
        <v>1294</v>
      </c>
      <c r="B5" s="13" t="s">
        <v>1290</v>
      </c>
      <c r="C5" s="13" t="s">
        <v>1295</v>
      </c>
      <c r="D5" s="13" t="s">
        <v>1296</v>
      </c>
      <c r="E5" s="13" t="s">
        <v>1297</v>
      </c>
      <c r="F5" s="13" t="s">
        <v>820</v>
      </c>
      <c r="G5" s="14"/>
      <c r="H5" s="14"/>
    </row>
    <row r="6" spans="1:8" ht="26.4" x14ac:dyDescent="0.3">
      <c r="A6" s="12" t="s">
        <v>1298</v>
      </c>
      <c r="B6" s="13" t="s">
        <v>1290</v>
      </c>
      <c r="C6" s="13" t="s">
        <v>1299</v>
      </c>
      <c r="D6" s="13" t="s">
        <v>1300</v>
      </c>
      <c r="E6" s="13" t="s">
        <v>1301</v>
      </c>
      <c r="F6" s="13" t="s">
        <v>825</v>
      </c>
      <c r="G6" s="14"/>
      <c r="H6" s="14"/>
    </row>
    <row r="7" spans="1:8" ht="39.6" x14ac:dyDescent="0.3">
      <c r="A7" s="12" t="s">
        <v>1302</v>
      </c>
      <c r="B7" s="13" t="s">
        <v>1290</v>
      </c>
      <c r="C7" s="13" t="s">
        <v>1303</v>
      </c>
      <c r="D7" s="13" t="s">
        <v>1304</v>
      </c>
      <c r="E7" s="13" t="s">
        <v>1305</v>
      </c>
      <c r="F7" s="13" t="s">
        <v>762</v>
      </c>
      <c r="G7" s="14"/>
      <c r="H7" s="14"/>
    </row>
    <row r="8" spans="1:8" ht="39.6" x14ac:dyDescent="0.3">
      <c r="A8" s="12" t="s">
        <v>1306</v>
      </c>
      <c r="B8" s="13" t="s">
        <v>1290</v>
      </c>
      <c r="C8" s="13" t="s">
        <v>1307</v>
      </c>
      <c r="D8" s="13" t="s">
        <v>1308</v>
      </c>
      <c r="E8" s="13" t="s">
        <v>1309</v>
      </c>
      <c r="F8" s="13" t="s">
        <v>784</v>
      </c>
      <c r="G8" s="14"/>
      <c r="H8" s="14"/>
    </row>
    <row r="9" spans="1:8" ht="26.4" x14ac:dyDescent="0.3">
      <c r="A9" s="12" t="s">
        <v>1310</v>
      </c>
      <c r="B9" s="13" t="s">
        <v>1290</v>
      </c>
      <c r="C9" s="13" t="s">
        <v>1311</v>
      </c>
      <c r="D9" s="13" t="s">
        <v>1312</v>
      </c>
      <c r="E9" s="13" t="s">
        <v>1313</v>
      </c>
      <c r="F9" s="13" t="s">
        <v>719</v>
      </c>
      <c r="G9" s="14"/>
      <c r="H9" s="14"/>
    </row>
    <row r="10" spans="1:8" ht="26.4" x14ac:dyDescent="0.3">
      <c r="A10" s="12" t="s">
        <v>1314</v>
      </c>
      <c r="B10" s="13" t="s">
        <v>1290</v>
      </c>
      <c r="C10" s="13" t="s">
        <v>1315</v>
      </c>
      <c r="D10" s="13" t="s">
        <v>1316</v>
      </c>
      <c r="E10" s="13" t="s">
        <v>1317</v>
      </c>
      <c r="F10" s="13" t="s">
        <v>730</v>
      </c>
      <c r="G10" s="14"/>
      <c r="H10" s="14"/>
    </row>
    <row r="11" spans="1:8" ht="39.6" x14ac:dyDescent="0.3">
      <c r="A11" s="12" t="s">
        <v>1318</v>
      </c>
      <c r="B11" s="13" t="s">
        <v>1290</v>
      </c>
      <c r="C11" s="13" t="s">
        <v>1319</v>
      </c>
      <c r="D11" s="13" t="s">
        <v>1320</v>
      </c>
      <c r="E11" s="13" t="s">
        <v>1321</v>
      </c>
      <c r="F11" s="13" t="s">
        <v>733</v>
      </c>
      <c r="G11" s="14"/>
      <c r="H11" s="14"/>
    </row>
    <row r="12" spans="1:8" ht="26.4" x14ac:dyDescent="0.3">
      <c r="A12" s="12" t="s">
        <v>1322</v>
      </c>
      <c r="B12" s="13" t="s">
        <v>1290</v>
      </c>
      <c r="C12" s="13" t="s">
        <v>1323</v>
      </c>
      <c r="D12" s="13" t="s">
        <v>1324</v>
      </c>
      <c r="E12" s="13" t="s">
        <v>1325</v>
      </c>
      <c r="F12" s="13" t="s">
        <v>696</v>
      </c>
      <c r="G12" s="14"/>
      <c r="H12" s="14"/>
    </row>
    <row r="13" spans="1:8" ht="52.8" x14ac:dyDescent="0.3">
      <c r="A13" s="12" t="s">
        <v>1326</v>
      </c>
      <c r="B13" s="13" t="s">
        <v>1327</v>
      </c>
      <c r="C13" s="13" t="s">
        <v>1328</v>
      </c>
      <c r="D13" s="13" t="s">
        <v>1329</v>
      </c>
      <c r="E13" s="13" t="s">
        <v>1330</v>
      </c>
      <c r="F13" s="13" t="s">
        <v>188</v>
      </c>
      <c r="G13" s="14"/>
      <c r="H13" s="14"/>
    </row>
    <row r="14" spans="1:8" ht="26.4" x14ac:dyDescent="0.3">
      <c r="A14" s="12" t="s">
        <v>1331</v>
      </c>
      <c r="B14" s="13" t="s">
        <v>1327</v>
      </c>
      <c r="C14" s="13" t="s">
        <v>1332</v>
      </c>
      <c r="D14" s="13" t="s">
        <v>1333</v>
      </c>
      <c r="E14" s="13" t="s">
        <v>1334</v>
      </c>
      <c r="F14" s="13" t="s">
        <v>280</v>
      </c>
      <c r="G14" s="14"/>
      <c r="H14" s="14"/>
    </row>
    <row r="15" spans="1:8" ht="26.4" x14ac:dyDescent="0.3">
      <c r="A15" s="12" t="s">
        <v>1335</v>
      </c>
      <c r="B15" s="13" t="s">
        <v>1280</v>
      </c>
      <c r="C15" s="13" t="s">
        <v>1336</v>
      </c>
      <c r="D15" s="13" t="s">
        <v>1337</v>
      </c>
      <c r="E15" s="13" t="s">
        <v>1338</v>
      </c>
      <c r="F15" s="13" t="s">
        <v>623</v>
      </c>
      <c r="G15" s="14"/>
      <c r="H15" s="14"/>
    </row>
    <row r="16" spans="1:8" ht="26.4" x14ac:dyDescent="0.3">
      <c r="A16" s="12" t="s">
        <v>1339</v>
      </c>
      <c r="B16" s="13" t="s">
        <v>1280</v>
      </c>
      <c r="C16" s="13" t="s">
        <v>1340</v>
      </c>
      <c r="D16" s="13" t="s">
        <v>1341</v>
      </c>
      <c r="E16" s="13" t="s">
        <v>1342</v>
      </c>
      <c r="F16" s="13" t="s">
        <v>654</v>
      </c>
      <c r="G16" s="14"/>
      <c r="H16" s="14"/>
    </row>
    <row r="17" spans="1:8" ht="26.4" x14ac:dyDescent="0.3">
      <c r="A17" s="12" t="s">
        <v>1343</v>
      </c>
      <c r="B17" s="13" t="s">
        <v>1344</v>
      </c>
      <c r="C17" s="13" t="s">
        <v>1345</v>
      </c>
      <c r="D17" s="13" t="s">
        <v>1346</v>
      </c>
      <c r="E17" s="13" t="s">
        <v>1347</v>
      </c>
      <c r="F17" s="13" t="s">
        <v>854</v>
      </c>
      <c r="G17" s="14"/>
      <c r="H17" s="14"/>
    </row>
    <row r="18" spans="1:8" ht="39.6" x14ac:dyDescent="0.3">
      <c r="A18" s="12" t="s">
        <v>1348</v>
      </c>
      <c r="B18" s="13" t="s">
        <v>1349</v>
      </c>
      <c r="C18" s="13" t="s">
        <v>1350</v>
      </c>
      <c r="D18" s="13" t="s">
        <v>1351</v>
      </c>
      <c r="E18" s="13" t="s">
        <v>1352</v>
      </c>
      <c r="F18" s="13" t="s">
        <v>163</v>
      </c>
      <c r="G18" s="14"/>
      <c r="H18" s="14"/>
    </row>
    <row r="19" spans="1:8" ht="39.6" x14ac:dyDescent="0.3">
      <c r="A19" s="12" t="s">
        <v>1353</v>
      </c>
      <c r="B19" s="13" t="s">
        <v>1354</v>
      </c>
      <c r="C19" s="13" t="s">
        <v>1355</v>
      </c>
      <c r="D19" s="13" t="s">
        <v>1356</v>
      </c>
      <c r="E19" s="13" t="s">
        <v>1357</v>
      </c>
      <c r="F19" s="13" t="s">
        <v>434</v>
      </c>
      <c r="G19" s="14"/>
      <c r="H19" s="14"/>
    </row>
    <row r="20" spans="1:8" ht="39.6" x14ac:dyDescent="0.3">
      <c r="A20" s="12" t="s">
        <v>1358</v>
      </c>
      <c r="B20" s="13" t="s">
        <v>1359</v>
      </c>
      <c r="C20" s="13" t="s">
        <v>1360</v>
      </c>
      <c r="D20" s="13" t="s">
        <v>1361</v>
      </c>
      <c r="E20" s="13" t="s">
        <v>1362</v>
      </c>
      <c r="F20" s="13" t="s">
        <v>959</v>
      </c>
      <c r="G20" s="14"/>
      <c r="H20" s="14"/>
    </row>
    <row r="21" spans="1:8" ht="52.8" x14ac:dyDescent="0.3">
      <c r="A21" s="12" t="s">
        <v>1363</v>
      </c>
      <c r="B21" s="13" t="s">
        <v>1359</v>
      </c>
      <c r="C21" s="13" t="s">
        <v>1364</v>
      </c>
      <c r="D21" s="13" t="s">
        <v>1365</v>
      </c>
      <c r="E21" s="13" t="s">
        <v>1366</v>
      </c>
      <c r="F21" s="13" t="s">
        <v>1030</v>
      </c>
      <c r="G21" s="14"/>
      <c r="H21" s="14"/>
    </row>
    <row r="22" spans="1:8" ht="26.4" x14ac:dyDescent="0.3">
      <c r="A22" s="12" t="s">
        <v>1367</v>
      </c>
      <c r="B22" s="13" t="s">
        <v>1359</v>
      </c>
      <c r="C22" s="13" t="s">
        <v>1368</v>
      </c>
      <c r="D22" s="13" t="s">
        <v>1369</v>
      </c>
      <c r="E22" s="13" t="s">
        <v>1370</v>
      </c>
      <c r="F22" s="13" t="s">
        <v>1034</v>
      </c>
      <c r="G22" s="14"/>
      <c r="H22" s="14"/>
    </row>
    <row r="23" spans="1:8" ht="26.4" x14ac:dyDescent="0.3">
      <c r="A23" s="12" t="s">
        <v>1371</v>
      </c>
      <c r="B23" s="13" t="s">
        <v>1359</v>
      </c>
      <c r="C23" s="13" t="s">
        <v>1372</v>
      </c>
      <c r="D23" s="13" t="s">
        <v>1373</v>
      </c>
      <c r="E23" s="13" t="s">
        <v>1374</v>
      </c>
      <c r="F23" s="13" t="s">
        <v>1018</v>
      </c>
      <c r="G23" s="14"/>
      <c r="H23" s="14"/>
    </row>
    <row r="24" spans="1:8" ht="66" x14ac:dyDescent="0.3">
      <c r="A24" s="12" t="s">
        <v>1375</v>
      </c>
      <c r="B24" s="13" t="s">
        <v>1376</v>
      </c>
      <c r="C24" s="13" t="s">
        <v>1377</v>
      </c>
      <c r="D24" s="13" t="s">
        <v>1378</v>
      </c>
      <c r="E24" s="13" t="s">
        <v>1379</v>
      </c>
      <c r="F24" s="13" t="s">
        <v>1106</v>
      </c>
      <c r="G24" s="14"/>
      <c r="H24" s="14"/>
    </row>
    <row r="25" spans="1:8" ht="26.4" x14ac:dyDescent="0.3">
      <c r="A25" s="12" t="s">
        <v>1380</v>
      </c>
      <c r="B25" s="13" t="s">
        <v>1376</v>
      </c>
      <c r="C25" s="13" t="s">
        <v>1381</v>
      </c>
      <c r="D25" s="13" t="s">
        <v>1382</v>
      </c>
      <c r="E25" s="13" t="s">
        <v>1383</v>
      </c>
      <c r="F25" s="13" t="s">
        <v>1111</v>
      </c>
      <c r="G25" s="14"/>
      <c r="H25" s="14"/>
    </row>
    <row r="26" spans="1:8" ht="26.4" x14ac:dyDescent="0.3">
      <c r="A26" s="12" t="s">
        <v>1384</v>
      </c>
      <c r="B26" s="13" t="s">
        <v>1385</v>
      </c>
      <c r="C26" s="13" t="s">
        <v>1386</v>
      </c>
      <c r="D26" s="13" t="s">
        <v>1387</v>
      </c>
      <c r="E26" s="13" t="s">
        <v>1388</v>
      </c>
      <c r="F26" s="13" t="s">
        <v>1266</v>
      </c>
      <c r="G26" s="14"/>
      <c r="H26" s="14"/>
    </row>
    <row r="27" spans="1:8" ht="39.6" x14ac:dyDescent="0.3">
      <c r="A27" s="12" t="s">
        <v>1389</v>
      </c>
      <c r="B27" s="13" t="s">
        <v>1390</v>
      </c>
      <c r="C27" s="13" t="s">
        <v>1391</v>
      </c>
      <c r="D27" s="13" t="s">
        <v>1392</v>
      </c>
      <c r="E27" s="13" t="s">
        <v>1393</v>
      </c>
      <c r="F27" s="13" t="s">
        <v>66</v>
      </c>
      <c r="G27" s="14"/>
      <c r="H27" s="14"/>
    </row>
    <row r="29" spans="1:8" ht="45" customHeight="1" x14ac:dyDescent="0.3">
      <c r="B29" s="11" t="s">
        <v>1394</v>
      </c>
      <c r="C29" s="18" t="s">
        <v>1395</v>
      </c>
      <c r="D29" s="19"/>
      <c r="E29" s="19"/>
    </row>
  </sheetData>
  <mergeCells count="1">
    <mergeCell ref="C29:E29"/>
  </mergeCells>
  <dataValidations count="1">
    <dataValidation type="list" allowBlank="1" sqref="G2:G27" xr:uid="{00000000-0002-0000-0300-000000000000}">
      <formula1>"Yes,No"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6"/>
  <sheetViews>
    <sheetView workbookViewId="0"/>
  </sheetViews>
  <sheetFormatPr defaultRowHeight="14.4" x14ac:dyDescent="0.3"/>
  <cols>
    <col min="1" max="1" width="26" customWidth="1"/>
    <col min="2" max="2" width="22" customWidth="1"/>
    <col min="3" max="3" width="24" customWidth="1"/>
    <col min="4" max="4" width="26" customWidth="1"/>
    <col min="5" max="6" width="22" customWidth="1"/>
    <col min="7" max="7" width="18" customWidth="1"/>
    <col min="8" max="8" width="40" customWidth="1"/>
  </cols>
  <sheetData>
    <row r="1" spans="1:8" x14ac:dyDescent="0.3">
      <c r="A1" s="5" t="s">
        <v>1396</v>
      </c>
    </row>
    <row r="3" spans="1:8" ht="15.6" x14ac:dyDescent="0.3">
      <c r="A3" s="15" t="s">
        <v>1397</v>
      </c>
    </row>
    <row r="4" spans="1:8" x14ac:dyDescent="0.3">
      <c r="A4" s="16" t="s">
        <v>1398</v>
      </c>
      <c r="B4" s="16" t="s">
        <v>1399</v>
      </c>
      <c r="C4" s="16" t="s">
        <v>1400</v>
      </c>
      <c r="D4" s="16" t="s">
        <v>1401</v>
      </c>
      <c r="E4" s="16" t="s">
        <v>60</v>
      </c>
      <c r="F4" s="16" t="s">
        <v>1402</v>
      </c>
      <c r="G4" s="16" t="s">
        <v>1403</v>
      </c>
      <c r="H4" s="16" t="s">
        <v>1404</v>
      </c>
    </row>
    <row r="5" spans="1:8" ht="26.4" x14ac:dyDescent="0.3">
      <c r="A5" s="13" t="s">
        <v>1405</v>
      </c>
      <c r="B5" s="13" t="s">
        <v>1406</v>
      </c>
      <c r="C5" s="13" t="s">
        <v>1407</v>
      </c>
      <c r="D5" s="13" t="s">
        <v>1408</v>
      </c>
      <c r="E5" s="13" t="s">
        <v>1409</v>
      </c>
      <c r="F5" s="13">
        <v>2</v>
      </c>
      <c r="G5" s="13" t="s">
        <v>1410</v>
      </c>
      <c r="H5" s="13" t="s">
        <v>1411</v>
      </c>
    </row>
    <row r="6" spans="1:8" ht="26.4" x14ac:dyDescent="0.3">
      <c r="A6" s="13" t="s">
        <v>1412</v>
      </c>
      <c r="B6" s="13" t="s">
        <v>1406</v>
      </c>
      <c r="C6" s="13" t="s">
        <v>66</v>
      </c>
      <c r="D6" s="13" t="s">
        <v>1408</v>
      </c>
      <c r="E6" s="13" t="s">
        <v>1413</v>
      </c>
      <c r="F6" s="13">
        <v>1</v>
      </c>
      <c r="G6" s="13" t="s">
        <v>1414</v>
      </c>
      <c r="H6" s="13" t="s">
        <v>1415</v>
      </c>
    </row>
    <row r="7" spans="1:8" x14ac:dyDescent="0.3">
      <c r="A7" s="13" t="s">
        <v>1416</v>
      </c>
      <c r="B7" s="13" t="s">
        <v>1406</v>
      </c>
      <c r="C7" s="13" t="s">
        <v>66</v>
      </c>
      <c r="D7" s="13" t="s">
        <v>1417</v>
      </c>
      <c r="E7" s="13" t="s">
        <v>1413</v>
      </c>
      <c r="F7" s="13">
        <v>1</v>
      </c>
      <c r="G7" s="13" t="s">
        <v>1418</v>
      </c>
      <c r="H7" s="13" t="s">
        <v>1419</v>
      </c>
    </row>
    <row r="8" spans="1:8" ht="26.4" x14ac:dyDescent="0.3">
      <c r="A8" s="13" t="s">
        <v>1420</v>
      </c>
      <c r="B8" s="13" t="s">
        <v>1407</v>
      </c>
      <c r="C8" s="13" t="s">
        <v>66</v>
      </c>
      <c r="D8" s="13" t="s">
        <v>1408</v>
      </c>
      <c r="E8" s="13" t="s">
        <v>1413</v>
      </c>
      <c r="F8" s="13">
        <v>1</v>
      </c>
      <c r="G8" s="13" t="s">
        <v>1421</v>
      </c>
      <c r="H8" s="13" t="s">
        <v>1422</v>
      </c>
    </row>
    <row r="9" spans="1:8" ht="26.4" x14ac:dyDescent="0.3">
      <c r="A9" s="13" t="s">
        <v>1423</v>
      </c>
      <c r="B9" s="13" t="s">
        <v>1406</v>
      </c>
      <c r="C9" s="13" t="s">
        <v>66</v>
      </c>
      <c r="D9" s="13" t="s">
        <v>1408</v>
      </c>
      <c r="E9" s="13" t="s">
        <v>1424</v>
      </c>
      <c r="F9" s="13">
        <v>1</v>
      </c>
      <c r="G9" s="13" t="s">
        <v>1414</v>
      </c>
      <c r="H9" s="13" t="s">
        <v>1425</v>
      </c>
    </row>
    <row r="10" spans="1:8" ht="26.4" x14ac:dyDescent="0.3">
      <c r="A10" s="13" t="s">
        <v>1426</v>
      </c>
      <c r="B10" s="13" t="s">
        <v>1406</v>
      </c>
      <c r="C10" s="13" t="s">
        <v>66</v>
      </c>
      <c r="D10" s="13" t="s">
        <v>1417</v>
      </c>
      <c r="E10" s="13" t="s">
        <v>1413</v>
      </c>
      <c r="F10" s="13">
        <v>1</v>
      </c>
      <c r="G10" s="13" t="s">
        <v>1427</v>
      </c>
      <c r="H10" s="13" t="s">
        <v>1428</v>
      </c>
    </row>
    <row r="12" spans="1:8" ht="15.6" x14ac:dyDescent="0.3">
      <c r="A12" s="15" t="s">
        <v>1429</v>
      </c>
    </row>
    <row r="13" spans="1:8" x14ac:dyDescent="0.3">
      <c r="A13" s="16" t="s">
        <v>1430</v>
      </c>
      <c r="B13" s="16" t="s">
        <v>53</v>
      </c>
      <c r="C13" s="16" t="s">
        <v>1431</v>
      </c>
      <c r="D13" s="16" t="s">
        <v>1432</v>
      </c>
      <c r="E13" s="16" t="s">
        <v>1433</v>
      </c>
      <c r="F13" s="16" t="s">
        <v>60</v>
      </c>
      <c r="G13" s="16"/>
      <c r="H13" s="16" t="s">
        <v>1394</v>
      </c>
    </row>
    <row r="14" spans="1:8" x14ac:dyDescent="0.3">
      <c r="A14" s="13" t="s">
        <v>1434</v>
      </c>
      <c r="B14" s="13" t="s">
        <v>1435</v>
      </c>
      <c r="C14" s="13" t="s">
        <v>1436</v>
      </c>
      <c r="D14" s="13" t="s">
        <v>1406</v>
      </c>
      <c r="E14" s="13" t="s">
        <v>1405</v>
      </c>
      <c r="F14" s="13" t="s">
        <v>1409</v>
      </c>
      <c r="G14" s="13"/>
      <c r="H14" s="13" t="s">
        <v>1437</v>
      </c>
    </row>
    <row r="15" spans="1:8" x14ac:dyDescent="0.3">
      <c r="A15" s="13" t="s">
        <v>1438</v>
      </c>
      <c r="B15" s="13" t="s">
        <v>1439</v>
      </c>
      <c r="C15" s="13" t="s">
        <v>1440</v>
      </c>
      <c r="D15" s="13" t="s">
        <v>1406</v>
      </c>
      <c r="E15" s="13" t="s">
        <v>1412</v>
      </c>
      <c r="F15" s="13" t="s">
        <v>1413</v>
      </c>
      <c r="G15" s="13"/>
      <c r="H15" s="13"/>
    </row>
    <row r="16" spans="1:8" x14ac:dyDescent="0.3">
      <c r="A16" s="13" t="s">
        <v>1441</v>
      </c>
      <c r="B16" s="13" t="s">
        <v>1442</v>
      </c>
      <c r="C16" s="13" t="s">
        <v>1443</v>
      </c>
      <c r="D16" s="13" t="s">
        <v>1406</v>
      </c>
      <c r="E16" s="13" t="s">
        <v>66</v>
      </c>
      <c r="F16" s="13" t="s">
        <v>1413</v>
      </c>
      <c r="G16" s="13"/>
      <c r="H16" s="13"/>
    </row>
    <row r="17" spans="1:8" x14ac:dyDescent="0.3">
      <c r="A17" s="13" t="s">
        <v>1444</v>
      </c>
      <c r="B17" s="13" t="s">
        <v>1445</v>
      </c>
      <c r="C17" s="13" t="s">
        <v>1446</v>
      </c>
      <c r="D17" s="13" t="s">
        <v>1406</v>
      </c>
      <c r="E17" s="13" t="s">
        <v>1416</v>
      </c>
      <c r="F17" s="13" t="s">
        <v>1413</v>
      </c>
      <c r="G17" s="13"/>
      <c r="H17" s="13"/>
    </row>
    <row r="18" spans="1:8" x14ac:dyDescent="0.3">
      <c r="A18" s="13" t="s">
        <v>1447</v>
      </c>
      <c r="B18" s="13" t="s">
        <v>1448</v>
      </c>
      <c r="C18" s="13" t="s">
        <v>1449</v>
      </c>
      <c r="D18" s="13" t="s">
        <v>1406</v>
      </c>
      <c r="E18" s="13" t="s">
        <v>66</v>
      </c>
      <c r="F18" s="13" t="s">
        <v>1450</v>
      </c>
      <c r="G18" s="13"/>
      <c r="H18" s="13" t="s">
        <v>1451</v>
      </c>
    </row>
    <row r="19" spans="1:8" x14ac:dyDescent="0.3">
      <c r="A19" s="13" t="s">
        <v>1452</v>
      </c>
      <c r="B19" s="13" t="s">
        <v>1453</v>
      </c>
      <c r="C19" s="13" t="s">
        <v>1454</v>
      </c>
      <c r="D19" s="13" t="s">
        <v>1406</v>
      </c>
      <c r="E19" s="13" t="s">
        <v>66</v>
      </c>
      <c r="F19" s="13" t="s">
        <v>1413</v>
      </c>
      <c r="G19" s="13"/>
      <c r="H19" s="13"/>
    </row>
    <row r="20" spans="1:8" x14ac:dyDescent="0.3">
      <c r="A20" s="13" t="s">
        <v>1455</v>
      </c>
      <c r="B20" s="13" t="s">
        <v>1456</v>
      </c>
      <c r="C20" s="13" t="s">
        <v>1457</v>
      </c>
      <c r="D20" s="13" t="s">
        <v>1406</v>
      </c>
      <c r="E20" s="13" t="s">
        <v>66</v>
      </c>
      <c r="F20" s="13" t="s">
        <v>1413</v>
      </c>
      <c r="G20" s="13"/>
      <c r="H20" s="13"/>
    </row>
    <row r="21" spans="1:8" x14ac:dyDescent="0.3">
      <c r="A21" s="13" t="s">
        <v>1458</v>
      </c>
      <c r="B21" s="13" t="s">
        <v>1435</v>
      </c>
      <c r="C21" s="13" t="s">
        <v>1459</v>
      </c>
      <c r="D21" s="13" t="s">
        <v>1407</v>
      </c>
      <c r="E21" s="13" t="s">
        <v>1420</v>
      </c>
      <c r="F21" s="13" t="s">
        <v>1413</v>
      </c>
      <c r="G21" s="13"/>
      <c r="H21" s="13" t="s">
        <v>1460</v>
      </c>
    </row>
    <row r="23" spans="1:8" ht="15.6" x14ac:dyDescent="0.3">
      <c r="A23" s="15" t="s">
        <v>1461</v>
      </c>
    </row>
    <row r="24" spans="1:8" x14ac:dyDescent="0.3">
      <c r="A24" s="16" t="s">
        <v>1462</v>
      </c>
      <c r="B24" s="16" t="s">
        <v>60</v>
      </c>
      <c r="C24" s="16" t="s">
        <v>53</v>
      </c>
      <c r="D24" s="16" t="s">
        <v>1463</v>
      </c>
      <c r="E24" s="16" t="s">
        <v>1464</v>
      </c>
      <c r="F24" s="16" t="s">
        <v>1465</v>
      </c>
      <c r="G24" s="16"/>
      <c r="H24" s="16" t="s">
        <v>1466</v>
      </c>
    </row>
    <row r="25" spans="1:8" ht="26.4" x14ac:dyDescent="0.3">
      <c r="A25" s="13" t="s">
        <v>1467</v>
      </c>
      <c r="B25" s="13" t="s">
        <v>1468</v>
      </c>
      <c r="C25" s="13" t="s">
        <v>1469</v>
      </c>
      <c r="D25" s="13" t="s">
        <v>1470</v>
      </c>
      <c r="E25" s="13" t="s">
        <v>1442</v>
      </c>
      <c r="F25" s="13" t="s">
        <v>1471</v>
      </c>
      <c r="G25" s="13"/>
      <c r="H25" s="13" t="s">
        <v>1472</v>
      </c>
    </row>
    <row r="26" spans="1:8" ht="26.4" x14ac:dyDescent="0.3">
      <c r="A26" s="13" t="s">
        <v>1473</v>
      </c>
      <c r="B26" s="13" t="s">
        <v>1474</v>
      </c>
      <c r="C26" s="13" t="s">
        <v>1475</v>
      </c>
      <c r="D26" s="13" t="s">
        <v>1476</v>
      </c>
      <c r="E26" s="13" t="s">
        <v>1435</v>
      </c>
      <c r="F26" s="13" t="s">
        <v>1477</v>
      </c>
      <c r="G26" s="13"/>
      <c r="H26" s="13" t="s">
        <v>1478</v>
      </c>
    </row>
    <row r="27" spans="1:8" ht="26.4" x14ac:dyDescent="0.3">
      <c r="A27" s="13" t="s">
        <v>1479</v>
      </c>
      <c r="B27" s="13" t="s">
        <v>1480</v>
      </c>
      <c r="C27" s="13" t="s">
        <v>1481</v>
      </c>
      <c r="D27" s="13" t="s">
        <v>1482</v>
      </c>
      <c r="E27" s="13" t="s">
        <v>1445</v>
      </c>
      <c r="F27" s="13" t="s">
        <v>1483</v>
      </c>
      <c r="G27" s="13"/>
      <c r="H27" s="13" t="s">
        <v>1484</v>
      </c>
    </row>
    <row r="28" spans="1:8" ht="26.4" x14ac:dyDescent="0.3">
      <c r="A28" s="13" t="s">
        <v>1485</v>
      </c>
      <c r="B28" s="13" t="s">
        <v>1486</v>
      </c>
      <c r="C28" s="13" t="s">
        <v>1469</v>
      </c>
      <c r="D28" s="13" t="s">
        <v>1487</v>
      </c>
      <c r="E28" s="13" t="s">
        <v>1435</v>
      </c>
      <c r="F28" s="13" t="s">
        <v>1488</v>
      </c>
      <c r="G28" s="13"/>
      <c r="H28" s="13" t="s">
        <v>1489</v>
      </c>
    </row>
    <row r="29" spans="1:8" ht="26.4" x14ac:dyDescent="0.3">
      <c r="A29" s="13" t="s">
        <v>1490</v>
      </c>
      <c r="B29" s="13" t="s">
        <v>1491</v>
      </c>
      <c r="C29" s="13" t="s">
        <v>1475</v>
      </c>
      <c r="D29" s="13" t="s">
        <v>1492</v>
      </c>
      <c r="E29" s="13" t="s">
        <v>1439</v>
      </c>
      <c r="F29" s="13" t="s">
        <v>1493</v>
      </c>
      <c r="G29" s="13"/>
      <c r="H29" s="13" t="s">
        <v>1494</v>
      </c>
    </row>
    <row r="30" spans="1:8" ht="26.4" x14ac:dyDescent="0.3">
      <c r="A30" s="13" t="s">
        <v>1495</v>
      </c>
      <c r="B30" s="13" t="s">
        <v>1496</v>
      </c>
      <c r="C30" s="13" t="s">
        <v>1469</v>
      </c>
      <c r="D30" s="13" t="s">
        <v>1497</v>
      </c>
      <c r="E30" s="13" t="s">
        <v>1442</v>
      </c>
      <c r="F30" s="13" t="s">
        <v>1498</v>
      </c>
      <c r="G30" s="13"/>
      <c r="H30" s="13" t="s">
        <v>1499</v>
      </c>
    </row>
    <row r="32" spans="1:8" ht="15.6" x14ac:dyDescent="0.3">
      <c r="A32" s="15" t="s">
        <v>1500</v>
      </c>
    </row>
    <row r="33" spans="1:3" x14ac:dyDescent="0.3">
      <c r="A33" s="16" t="s">
        <v>1501</v>
      </c>
      <c r="B33" s="16" t="s">
        <v>1432</v>
      </c>
      <c r="C33" s="16" t="s">
        <v>1502</v>
      </c>
    </row>
    <row r="34" spans="1:3" x14ac:dyDescent="0.3">
      <c r="A34" s="13" t="s">
        <v>1406</v>
      </c>
      <c r="B34" s="13" t="s">
        <v>1406</v>
      </c>
      <c r="C34" s="13" t="s">
        <v>1503</v>
      </c>
    </row>
    <row r="35" spans="1:3" x14ac:dyDescent="0.3">
      <c r="A35" s="13" t="s">
        <v>1504</v>
      </c>
      <c r="B35" s="13" t="s">
        <v>1406</v>
      </c>
      <c r="C35" s="13" t="s">
        <v>1505</v>
      </c>
    </row>
    <row r="36" spans="1:3" x14ac:dyDescent="0.3">
      <c r="A36" s="13" t="s">
        <v>1506</v>
      </c>
      <c r="B36" s="13" t="s">
        <v>1406</v>
      </c>
      <c r="C36" s="13" t="s">
        <v>1507</v>
      </c>
    </row>
    <row r="37" spans="1:3" x14ac:dyDescent="0.3">
      <c r="A37" s="13" t="s">
        <v>1508</v>
      </c>
      <c r="B37" s="13" t="s">
        <v>1406</v>
      </c>
      <c r="C37" s="13" t="s">
        <v>1509</v>
      </c>
    </row>
    <row r="38" spans="1:3" x14ac:dyDescent="0.3">
      <c r="A38" s="13" t="s">
        <v>1510</v>
      </c>
      <c r="B38" s="13" t="s">
        <v>1406</v>
      </c>
      <c r="C38" s="13" t="s">
        <v>1511</v>
      </c>
    </row>
    <row r="39" spans="1:3" x14ac:dyDescent="0.3">
      <c r="A39" s="13" t="s">
        <v>1512</v>
      </c>
      <c r="B39" s="13" t="s">
        <v>1406</v>
      </c>
      <c r="C39" s="13" t="s">
        <v>1503</v>
      </c>
    </row>
    <row r="40" spans="1:3" x14ac:dyDescent="0.3">
      <c r="A40" s="13" t="s">
        <v>1513</v>
      </c>
      <c r="B40" s="13" t="s">
        <v>1407</v>
      </c>
      <c r="C40" s="13" t="s">
        <v>1503</v>
      </c>
    </row>
    <row r="41" spans="1:3" x14ac:dyDescent="0.3">
      <c r="A41" s="13" t="s">
        <v>1514</v>
      </c>
      <c r="B41" s="13" t="s">
        <v>1407</v>
      </c>
      <c r="C41" s="13" t="s">
        <v>1515</v>
      </c>
    </row>
    <row r="42" spans="1:3" x14ac:dyDescent="0.3">
      <c r="A42" s="13" t="s">
        <v>1516</v>
      </c>
      <c r="B42" s="13" t="s">
        <v>1407</v>
      </c>
      <c r="C42" s="13" t="s">
        <v>1505</v>
      </c>
    </row>
    <row r="43" spans="1:3" x14ac:dyDescent="0.3">
      <c r="A43" s="13" t="s">
        <v>1517</v>
      </c>
      <c r="B43" s="13" t="s">
        <v>1407</v>
      </c>
      <c r="C43" s="13" t="s">
        <v>1507</v>
      </c>
    </row>
    <row r="45" spans="1:3" ht="15.6" x14ac:dyDescent="0.3">
      <c r="A45" s="15" t="s">
        <v>1518</v>
      </c>
    </row>
    <row r="46" spans="1:3" x14ac:dyDescent="0.3">
      <c r="A46" s="16" t="s">
        <v>53</v>
      </c>
      <c r="B46" s="16" t="s">
        <v>1519</v>
      </c>
      <c r="C46" s="16" t="s">
        <v>1520</v>
      </c>
    </row>
    <row r="47" spans="1:3" ht="26.4" x14ac:dyDescent="0.3">
      <c r="A47" s="13" t="s">
        <v>1435</v>
      </c>
      <c r="B47" s="13" t="s">
        <v>1521</v>
      </c>
      <c r="C47" s="13">
        <v>7</v>
      </c>
    </row>
    <row r="48" spans="1:3" ht="26.4" x14ac:dyDescent="0.3">
      <c r="A48" s="13" t="s">
        <v>1439</v>
      </c>
      <c r="B48" s="13" t="s">
        <v>1521</v>
      </c>
      <c r="C48" s="13">
        <v>7</v>
      </c>
    </row>
    <row r="49" spans="1:6" ht="26.4" x14ac:dyDescent="0.3">
      <c r="A49" s="13" t="s">
        <v>1442</v>
      </c>
      <c r="B49" s="13" t="s">
        <v>1521</v>
      </c>
      <c r="C49" s="13">
        <v>5</v>
      </c>
    </row>
    <row r="50" spans="1:6" x14ac:dyDescent="0.3">
      <c r="A50" s="13" t="s">
        <v>1445</v>
      </c>
      <c r="B50" s="13" t="s">
        <v>1481</v>
      </c>
      <c r="C50" s="13">
        <v>2</v>
      </c>
    </row>
    <row r="51" spans="1:6" x14ac:dyDescent="0.3">
      <c r="A51" s="13" t="s">
        <v>1448</v>
      </c>
      <c r="B51" s="13" t="s">
        <v>1481</v>
      </c>
      <c r="C51" s="13">
        <v>2</v>
      </c>
    </row>
    <row r="52" spans="1:6" x14ac:dyDescent="0.3">
      <c r="A52" s="13" t="s">
        <v>1453</v>
      </c>
      <c r="B52" s="13" t="s">
        <v>1481</v>
      </c>
      <c r="C52" s="13">
        <v>2</v>
      </c>
    </row>
    <row r="53" spans="1:6" x14ac:dyDescent="0.3">
      <c r="A53" s="13" t="s">
        <v>1456</v>
      </c>
      <c r="B53" s="13" t="s">
        <v>1481</v>
      </c>
      <c r="C53" s="13">
        <v>2</v>
      </c>
    </row>
    <row r="54" spans="1:6" x14ac:dyDescent="0.3">
      <c r="A54" s="13" t="s">
        <v>1522</v>
      </c>
      <c r="B54" s="13" t="s">
        <v>1523</v>
      </c>
      <c r="C54" s="13">
        <v>0</v>
      </c>
    </row>
    <row r="56" spans="1:6" ht="15.6" x14ac:dyDescent="0.3">
      <c r="A56" s="15" t="s">
        <v>1524</v>
      </c>
    </row>
    <row r="57" spans="1:6" x14ac:dyDescent="0.3">
      <c r="A57" s="16" t="s">
        <v>1525</v>
      </c>
      <c r="B57" s="16" t="s">
        <v>1526</v>
      </c>
      <c r="C57" s="16" t="s">
        <v>1527</v>
      </c>
      <c r="D57" s="16" t="s">
        <v>1528</v>
      </c>
      <c r="E57" s="16" t="s">
        <v>1529</v>
      </c>
      <c r="F57" s="16" t="s">
        <v>1530</v>
      </c>
    </row>
    <row r="58" spans="1:6" x14ac:dyDescent="0.3">
      <c r="A58" s="13" t="s">
        <v>1531</v>
      </c>
      <c r="B58" s="13">
        <v>5</v>
      </c>
      <c r="C58" s="13">
        <v>1</v>
      </c>
      <c r="D58" s="13">
        <v>4</v>
      </c>
      <c r="E58" s="13" t="s">
        <v>628</v>
      </c>
      <c r="F58" s="13" t="s">
        <v>628</v>
      </c>
    </row>
    <row r="60" spans="1:6" ht="15.6" x14ac:dyDescent="0.3">
      <c r="A60" s="15" t="s">
        <v>1532</v>
      </c>
    </row>
    <row r="61" spans="1:6" x14ac:dyDescent="0.3">
      <c r="A61" s="16" t="s">
        <v>1533</v>
      </c>
      <c r="B61" s="16" t="s">
        <v>1534</v>
      </c>
    </row>
    <row r="62" spans="1:6" ht="52.8" x14ac:dyDescent="0.3">
      <c r="A62" s="13" t="s">
        <v>1535</v>
      </c>
      <c r="B62" s="13" t="s">
        <v>1536</v>
      </c>
    </row>
    <row r="63" spans="1:6" ht="39.6" x14ac:dyDescent="0.3">
      <c r="A63" s="13" t="s">
        <v>1537</v>
      </c>
      <c r="B63" s="13" t="s">
        <v>1538</v>
      </c>
    </row>
    <row r="64" spans="1:6" ht="26.4" x14ac:dyDescent="0.3">
      <c r="A64" s="13" t="s">
        <v>1539</v>
      </c>
      <c r="B64" s="13" t="s">
        <v>1540</v>
      </c>
    </row>
    <row r="65" spans="1:2" ht="39.6" x14ac:dyDescent="0.3">
      <c r="A65" s="13" t="s">
        <v>1162</v>
      </c>
      <c r="B65" s="13" t="s">
        <v>1541</v>
      </c>
    </row>
    <row r="66" spans="1:2" ht="26.4" x14ac:dyDescent="0.3">
      <c r="A66" s="13" t="s">
        <v>1542</v>
      </c>
      <c r="B66" s="13" t="s">
        <v>1543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1"/>
  <sheetViews>
    <sheetView workbookViewId="0">
      <pane ySplit="1" topLeftCell="A2" activePane="bottomLeft" state="frozen"/>
      <selection pane="bottomLeft"/>
    </sheetView>
  </sheetViews>
  <sheetFormatPr defaultRowHeight="14.4" x14ac:dyDescent="0.3"/>
  <cols>
    <col min="1" max="1" width="9" customWidth="1"/>
    <col min="2" max="2" width="13" customWidth="1"/>
    <col min="3" max="3" width="12" customWidth="1"/>
    <col min="4" max="4" width="20" customWidth="1"/>
    <col min="5" max="5" width="34" customWidth="1"/>
    <col min="6" max="6" width="44" customWidth="1"/>
    <col min="7" max="8" width="34" customWidth="1"/>
    <col min="9" max="10" width="11" customWidth="1"/>
    <col min="11" max="11" width="28" customWidth="1"/>
    <col min="12" max="12" width="18" customWidth="1"/>
  </cols>
  <sheetData>
    <row r="1" spans="1:12" ht="30" customHeight="1" x14ac:dyDescent="0.3">
      <c r="A1" s="6" t="s">
        <v>1544</v>
      </c>
      <c r="B1" s="6" t="s">
        <v>1545</v>
      </c>
      <c r="C1" s="6" t="s">
        <v>1546</v>
      </c>
      <c r="D1" s="6" t="s">
        <v>25</v>
      </c>
      <c r="E1" s="6" t="s">
        <v>1547</v>
      </c>
      <c r="F1" s="6" t="s">
        <v>1548</v>
      </c>
      <c r="G1" s="6" t="s">
        <v>1549</v>
      </c>
      <c r="H1" s="6" t="s">
        <v>1550</v>
      </c>
      <c r="I1" s="6" t="s">
        <v>1551</v>
      </c>
      <c r="J1" s="6" t="s">
        <v>60</v>
      </c>
      <c r="K1" s="6" t="s">
        <v>1552</v>
      </c>
      <c r="L1" s="6" t="s">
        <v>1553</v>
      </c>
    </row>
    <row r="2" spans="1:12" ht="39.6" x14ac:dyDescent="0.3">
      <c r="A2" s="17" t="s">
        <v>1554</v>
      </c>
      <c r="B2" s="17" t="s">
        <v>1555</v>
      </c>
      <c r="C2" s="17" t="s">
        <v>591</v>
      </c>
      <c r="D2" s="17" t="s">
        <v>39</v>
      </c>
      <c r="E2" s="17" t="s">
        <v>1556</v>
      </c>
      <c r="F2" s="17" t="s">
        <v>1557</v>
      </c>
      <c r="G2" s="17" t="s">
        <v>1558</v>
      </c>
      <c r="H2" s="17" t="s">
        <v>1559</v>
      </c>
      <c r="I2" s="17" t="s">
        <v>78</v>
      </c>
      <c r="J2" s="17" t="s">
        <v>1560</v>
      </c>
      <c r="K2" s="17" t="s">
        <v>1561</v>
      </c>
      <c r="L2" s="17"/>
    </row>
    <row r="3" spans="1:12" x14ac:dyDescent="0.3">
      <c r="A3" s="14"/>
      <c r="B3" s="14"/>
      <c r="C3" s="14"/>
      <c r="D3" s="14"/>
      <c r="E3" s="14"/>
      <c r="F3" s="14"/>
      <c r="G3" s="14"/>
      <c r="H3" s="14"/>
      <c r="I3" s="14"/>
      <c r="J3" s="14"/>
      <c r="K3" s="14"/>
      <c r="L3" s="14"/>
    </row>
    <row r="4" spans="1:12" x14ac:dyDescent="0.3">
      <c r="A4" s="14"/>
      <c r="B4" s="14"/>
      <c r="C4" s="14"/>
      <c r="D4" s="14"/>
      <c r="E4" s="14"/>
      <c r="F4" s="14"/>
      <c r="G4" s="14"/>
      <c r="H4" s="14"/>
      <c r="I4" s="14"/>
      <c r="J4" s="14"/>
      <c r="K4" s="14"/>
      <c r="L4" s="14"/>
    </row>
    <row r="5" spans="1:12" x14ac:dyDescent="0.3">
      <c r="A5" s="14"/>
      <c r="B5" s="14"/>
      <c r="C5" s="14"/>
      <c r="D5" s="14"/>
      <c r="E5" s="14"/>
      <c r="F5" s="14"/>
      <c r="G5" s="14"/>
      <c r="H5" s="14"/>
      <c r="I5" s="14"/>
      <c r="J5" s="14"/>
      <c r="K5" s="14"/>
      <c r="L5" s="14"/>
    </row>
    <row r="6" spans="1:12" x14ac:dyDescent="0.3">
      <c r="A6" s="14"/>
      <c r="B6" s="14"/>
      <c r="C6" s="14"/>
      <c r="D6" s="14"/>
      <c r="E6" s="14"/>
      <c r="F6" s="14"/>
      <c r="G6" s="14"/>
      <c r="H6" s="14"/>
      <c r="I6" s="14"/>
      <c r="J6" s="14"/>
      <c r="K6" s="14"/>
      <c r="L6" s="14"/>
    </row>
    <row r="7" spans="1:12" x14ac:dyDescent="0.3">
      <c r="A7" s="14"/>
      <c r="B7" s="14"/>
      <c r="C7" s="14"/>
      <c r="D7" s="14"/>
      <c r="E7" s="14"/>
      <c r="F7" s="14"/>
      <c r="G7" s="14"/>
      <c r="H7" s="14"/>
      <c r="I7" s="14"/>
      <c r="J7" s="14"/>
      <c r="K7" s="14"/>
      <c r="L7" s="14"/>
    </row>
    <row r="8" spans="1:12" x14ac:dyDescent="0.3">
      <c r="A8" s="14"/>
      <c r="B8" s="14"/>
      <c r="C8" s="14"/>
      <c r="D8" s="14"/>
      <c r="E8" s="14"/>
      <c r="F8" s="14"/>
      <c r="G8" s="14"/>
      <c r="H8" s="14"/>
      <c r="I8" s="14"/>
      <c r="J8" s="14"/>
      <c r="K8" s="14"/>
      <c r="L8" s="14"/>
    </row>
    <row r="9" spans="1:12" x14ac:dyDescent="0.3">
      <c r="A9" s="14"/>
      <c r="B9" s="14"/>
      <c r="C9" s="14"/>
      <c r="D9" s="14"/>
      <c r="E9" s="14"/>
      <c r="F9" s="14"/>
      <c r="G9" s="14"/>
      <c r="H9" s="14"/>
      <c r="I9" s="14"/>
      <c r="J9" s="14"/>
      <c r="K9" s="14"/>
      <c r="L9" s="14"/>
    </row>
    <row r="10" spans="1:12" x14ac:dyDescent="0.3">
      <c r="A10" s="14"/>
      <c r="B10" s="14"/>
      <c r="C10" s="14"/>
      <c r="D10" s="14"/>
      <c r="E10" s="14"/>
      <c r="F10" s="14"/>
      <c r="G10" s="14"/>
      <c r="H10" s="14"/>
      <c r="I10" s="14"/>
      <c r="J10" s="14"/>
      <c r="K10" s="14"/>
      <c r="L10" s="14"/>
    </row>
    <row r="11" spans="1:12" x14ac:dyDescent="0.3">
      <c r="A11" s="14"/>
      <c r="B11" s="14"/>
      <c r="C11" s="14"/>
      <c r="D11" s="14"/>
      <c r="E11" s="14"/>
      <c r="F11" s="14"/>
      <c r="G11" s="14"/>
      <c r="H11" s="14"/>
      <c r="I11" s="14"/>
      <c r="J11" s="14"/>
      <c r="K11" s="14"/>
      <c r="L11" s="14"/>
    </row>
    <row r="12" spans="1:12" x14ac:dyDescent="0.3">
      <c r="A12" s="14"/>
      <c r="B12" s="14"/>
      <c r="C12" s="14"/>
      <c r="D12" s="14"/>
      <c r="E12" s="14"/>
      <c r="F12" s="14"/>
      <c r="G12" s="14"/>
      <c r="H12" s="14"/>
      <c r="I12" s="14"/>
      <c r="J12" s="14"/>
      <c r="K12" s="14"/>
      <c r="L12" s="14"/>
    </row>
    <row r="13" spans="1:12" x14ac:dyDescent="0.3">
      <c r="A13" s="14"/>
      <c r="B13" s="14"/>
      <c r="C13" s="14"/>
      <c r="D13" s="14"/>
      <c r="E13" s="14"/>
      <c r="F13" s="14"/>
      <c r="G13" s="14"/>
      <c r="H13" s="14"/>
      <c r="I13" s="14"/>
      <c r="J13" s="14"/>
      <c r="K13" s="14"/>
      <c r="L13" s="14"/>
    </row>
    <row r="14" spans="1:12" x14ac:dyDescent="0.3">
      <c r="A14" s="14"/>
      <c r="B14" s="14"/>
      <c r="C14" s="14"/>
      <c r="D14" s="14"/>
      <c r="E14" s="14"/>
      <c r="F14" s="14"/>
      <c r="G14" s="14"/>
      <c r="H14" s="14"/>
      <c r="I14" s="14"/>
      <c r="J14" s="14"/>
      <c r="K14" s="14"/>
      <c r="L14" s="14"/>
    </row>
    <row r="15" spans="1:12" x14ac:dyDescent="0.3">
      <c r="A15" s="14"/>
      <c r="B15" s="14"/>
      <c r="C15" s="14"/>
      <c r="D15" s="14"/>
      <c r="E15" s="14"/>
      <c r="F15" s="14"/>
      <c r="G15" s="14"/>
      <c r="H15" s="14"/>
      <c r="I15" s="14"/>
      <c r="J15" s="14"/>
      <c r="K15" s="14"/>
      <c r="L15" s="14"/>
    </row>
    <row r="16" spans="1:12" x14ac:dyDescent="0.3">
      <c r="A16" s="14"/>
      <c r="B16" s="14"/>
      <c r="C16" s="14"/>
      <c r="D16" s="14"/>
      <c r="E16" s="14"/>
      <c r="F16" s="14"/>
      <c r="G16" s="14"/>
      <c r="H16" s="14"/>
      <c r="I16" s="14"/>
      <c r="J16" s="14"/>
      <c r="K16" s="14"/>
      <c r="L16" s="14"/>
    </row>
    <row r="17" spans="1:12" x14ac:dyDescent="0.3">
      <c r="A17" s="14"/>
      <c r="B17" s="14"/>
      <c r="C17" s="14"/>
      <c r="D17" s="14"/>
      <c r="E17" s="14"/>
      <c r="F17" s="14"/>
      <c r="G17" s="14"/>
      <c r="H17" s="14"/>
      <c r="I17" s="14"/>
      <c r="J17" s="14"/>
      <c r="K17" s="14"/>
      <c r="L17" s="14"/>
    </row>
    <row r="18" spans="1:12" x14ac:dyDescent="0.3">
      <c r="A18" s="14"/>
      <c r="B18" s="14"/>
      <c r="C18" s="14"/>
      <c r="D18" s="14"/>
      <c r="E18" s="14"/>
      <c r="F18" s="14"/>
      <c r="G18" s="14"/>
      <c r="H18" s="14"/>
      <c r="I18" s="14"/>
      <c r="J18" s="14"/>
      <c r="K18" s="14"/>
      <c r="L18" s="14"/>
    </row>
    <row r="19" spans="1:12" x14ac:dyDescent="0.3">
      <c r="A19" s="14"/>
      <c r="B19" s="14"/>
      <c r="C19" s="14"/>
      <c r="D19" s="14"/>
      <c r="E19" s="14"/>
      <c r="F19" s="14"/>
      <c r="G19" s="14"/>
      <c r="H19" s="14"/>
      <c r="I19" s="14"/>
      <c r="J19" s="14"/>
      <c r="K19" s="14"/>
      <c r="L19" s="14"/>
    </row>
    <row r="20" spans="1:12" x14ac:dyDescent="0.3">
      <c r="A20" s="14"/>
      <c r="B20" s="14"/>
      <c r="C20" s="14"/>
      <c r="D20" s="14"/>
      <c r="E20" s="14"/>
      <c r="F20" s="14"/>
      <c r="G20" s="14"/>
      <c r="H20" s="14"/>
      <c r="I20" s="14"/>
      <c r="J20" s="14"/>
      <c r="K20" s="14"/>
      <c r="L20" s="14"/>
    </row>
    <row r="21" spans="1:12" x14ac:dyDescent="0.3">
      <c r="A21" s="14"/>
      <c r="B21" s="14"/>
      <c r="C21" s="14"/>
      <c r="D21" s="14"/>
      <c r="E21" s="14"/>
      <c r="F21" s="14"/>
      <c r="G21" s="14"/>
      <c r="H21" s="14"/>
      <c r="I21" s="14"/>
      <c r="J21" s="14"/>
      <c r="K21" s="14"/>
      <c r="L21" s="14"/>
    </row>
    <row r="22" spans="1:12" x14ac:dyDescent="0.3">
      <c r="A22" s="14"/>
      <c r="B22" s="14"/>
      <c r="C22" s="14"/>
      <c r="D22" s="14"/>
      <c r="E22" s="14"/>
      <c r="F22" s="14"/>
      <c r="G22" s="14"/>
      <c r="H22" s="14"/>
      <c r="I22" s="14"/>
      <c r="J22" s="14"/>
      <c r="K22" s="14"/>
      <c r="L22" s="14"/>
    </row>
    <row r="23" spans="1:12" x14ac:dyDescent="0.3">
      <c r="A23" s="14"/>
      <c r="B23" s="14"/>
      <c r="C23" s="14"/>
      <c r="D23" s="14"/>
      <c r="E23" s="14"/>
      <c r="F23" s="14"/>
      <c r="G23" s="14"/>
      <c r="H23" s="14"/>
      <c r="I23" s="14"/>
      <c r="J23" s="14"/>
      <c r="K23" s="14"/>
      <c r="L23" s="14"/>
    </row>
    <row r="24" spans="1:12" x14ac:dyDescent="0.3">
      <c r="A24" s="14"/>
      <c r="B24" s="14"/>
      <c r="C24" s="14"/>
      <c r="D24" s="14"/>
      <c r="E24" s="14"/>
      <c r="F24" s="14"/>
      <c r="G24" s="14"/>
      <c r="H24" s="14"/>
      <c r="I24" s="14"/>
      <c r="J24" s="14"/>
      <c r="K24" s="14"/>
      <c r="L24" s="14"/>
    </row>
    <row r="25" spans="1:12" x14ac:dyDescent="0.3">
      <c r="A25" s="14"/>
      <c r="B25" s="14"/>
      <c r="C25" s="14"/>
      <c r="D25" s="14"/>
      <c r="E25" s="14"/>
      <c r="F25" s="14"/>
      <c r="G25" s="14"/>
      <c r="H25" s="14"/>
      <c r="I25" s="14"/>
      <c r="J25" s="14"/>
      <c r="K25" s="14"/>
      <c r="L25" s="14"/>
    </row>
    <row r="26" spans="1:12" x14ac:dyDescent="0.3">
      <c r="A26" s="14"/>
      <c r="B26" s="14"/>
      <c r="C26" s="14"/>
      <c r="D26" s="14"/>
      <c r="E26" s="14"/>
      <c r="F26" s="14"/>
      <c r="G26" s="14"/>
      <c r="H26" s="14"/>
      <c r="I26" s="14"/>
      <c r="J26" s="14"/>
      <c r="K26" s="14"/>
      <c r="L26" s="14"/>
    </row>
    <row r="27" spans="1:12" x14ac:dyDescent="0.3">
      <c r="A27" s="14"/>
      <c r="B27" s="14"/>
      <c r="C27" s="14"/>
      <c r="D27" s="14"/>
      <c r="E27" s="14"/>
      <c r="F27" s="14"/>
      <c r="G27" s="14"/>
      <c r="H27" s="14"/>
      <c r="I27" s="14"/>
      <c r="J27" s="14"/>
      <c r="K27" s="14"/>
      <c r="L27" s="14"/>
    </row>
    <row r="28" spans="1:12" x14ac:dyDescent="0.3">
      <c r="A28" s="14"/>
      <c r="B28" s="14"/>
      <c r="C28" s="14"/>
      <c r="D28" s="14"/>
      <c r="E28" s="14"/>
      <c r="F28" s="14"/>
      <c r="G28" s="14"/>
      <c r="H28" s="14"/>
      <c r="I28" s="14"/>
      <c r="J28" s="14"/>
      <c r="K28" s="14"/>
      <c r="L28" s="14"/>
    </row>
    <row r="29" spans="1:12" x14ac:dyDescent="0.3">
      <c r="A29" s="14"/>
      <c r="B29" s="14"/>
      <c r="C29" s="14"/>
      <c r="D29" s="14"/>
      <c r="E29" s="14"/>
      <c r="F29" s="14"/>
      <c r="G29" s="14"/>
      <c r="H29" s="14"/>
      <c r="I29" s="14"/>
      <c r="J29" s="14"/>
      <c r="K29" s="14"/>
      <c r="L29" s="14"/>
    </row>
    <row r="30" spans="1:12" x14ac:dyDescent="0.3">
      <c r="A30" s="14"/>
      <c r="B30" s="14"/>
      <c r="C30" s="14"/>
      <c r="D30" s="14"/>
      <c r="E30" s="14"/>
      <c r="F30" s="14"/>
      <c r="G30" s="14"/>
      <c r="H30" s="14"/>
      <c r="I30" s="14"/>
      <c r="J30" s="14"/>
      <c r="K30" s="14"/>
      <c r="L30" s="14"/>
    </row>
    <row r="31" spans="1:12" x14ac:dyDescent="0.3">
      <c r="A31" s="14"/>
      <c r="B31" s="14"/>
      <c r="C31" s="14"/>
      <c r="D31" s="14"/>
      <c r="E31" s="14"/>
      <c r="F31" s="14"/>
      <c r="G31" s="14"/>
      <c r="H31" s="14"/>
      <c r="I31" s="14"/>
      <c r="J31" s="14"/>
      <c r="K31" s="14"/>
      <c r="L31" s="14"/>
    </row>
    <row r="32" spans="1:12" x14ac:dyDescent="0.3">
      <c r="A32" s="14"/>
      <c r="B32" s="14"/>
      <c r="C32" s="14"/>
      <c r="D32" s="14"/>
      <c r="E32" s="14"/>
      <c r="F32" s="14"/>
      <c r="G32" s="14"/>
      <c r="H32" s="14"/>
      <c r="I32" s="14"/>
      <c r="J32" s="14"/>
      <c r="K32" s="14"/>
      <c r="L32" s="14"/>
    </row>
    <row r="33" spans="1:12" x14ac:dyDescent="0.3">
      <c r="A33" s="14"/>
      <c r="B33" s="14"/>
      <c r="C33" s="14"/>
      <c r="D33" s="14"/>
      <c r="E33" s="14"/>
      <c r="F33" s="14"/>
      <c r="G33" s="14"/>
      <c r="H33" s="14"/>
      <c r="I33" s="14"/>
      <c r="J33" s="14"/>
      <c r="K33" s="14"/>
      <c r="L33" s="14"/>
    </row>
    <row r="34" spans="1:12" x14ac:dyDescent="0.3">
      <c r="A34" s="14"/>
      <c r="B34" s="14"/>
      <c r="C34" s="14"/>
      <c r="D34" s="14"/>
      <c r="E34" s="14"/>
      <c r="F34" s="14"/>
      <c r="G34" s="14"/>
      <c r="H34" s="14"/>
      <c r="I34" s="14"/>
      <c r="J34" s="14"/>
      <c r="K34" s="14"/>
      <c r="L34" s="14"/>
    </row>
    <row r="35" spans="1:12" x14ac:dyDescent="0.3">
      <c r="A35" s="14"/>
      <c r="B35" s="14"/>
      <c r="C35" s="14"/>
      <c r="D35" s="14"/>
      <c r="E35" s="14"/>
      <c r="F35" s="14"/>
      <c r="G35" s="14"/>
      <c r="H35" s="14"/>
      <c r="I35" s="14"/>
      <c r="J35" s="14"/>
      <c r="K35" s="14"/>
      <c r="L35" s="14"/>
    </row>
    <row r="36" spans="1:12" x14ac:dyDescent="0.3">
      <c r="A36" s="14"/>
      <c r="B36" s="14"/>
      <c r="C36" s="14"/>
      <c r="D36" s="14"/>
      <c r="E36" s="14"/>
      <c r="F36" s="14"/>
      <c r="G36" s="14"/>
      <c r="H36" s="14"/>
      <c r="I36" s="14"/>
      <c r="J36" s="14"/>
      <c r="K36" s="14"/>
      <c r="L36" s="14"/>
    </row>
    <row r="37" spans="1:12" x14ac:dyDescent="0.3">
      <c r="A37" s="14"/>
      <c r="B37" s="14"/>
      <c r="C37" s="14"/>
      <c r="D37" s="14"/>
      <c r="E37" s="14"/>
      <c r="F37" s="14"/>
      <c r="G37" s="14"/>
      <c r="H37" s="14"/>
      <c r="I37" s="14"/>
      <c r="J37" s="14"/>
      <c r="K37" s="14"/>
      <c r="L37" s="14"/>
    </row>
    <row r="38" spans="1:12" x14ac:dyDescent="0.3">
      <c r="A38" s="14"/>
      <c r="B38" s="14"/>
      <c r="C38" s="14"/>
      <c r="D38" s="14"/>
      <c r="E38" s="14"/>
      <c r="F38" s="14"/>
      <c r="G38" s="14"/>
      <c r="H38" s="14"/>
      <c r="I38" s="14"/>
      <c r="J38" s="14"/>
      <c r="K38" s="14"/>
      <c r="L38" s="14"/>
    </row>
    <row r="39" spans="1:12" x14ac:dyDescent="0.3">
      <c r="A39" s="14"/>
      <c r="B39" s="14"/>
      <c r="C39" s="14"/>
      <c r="D39" s="14"/>
      <c r="E39" s="14"/>
      <c r="F39" s="14"/>
      <c r="G39" s="14"/>
      <c r="H39" s="14"/>
      <c r="I39" s="14"/>
      <c r="J39" s="14"/>
      <c r="K39" s="14"/>
      <c r="L39" s="14"/>
    </row>
    <row r="40" spans="1:12" x14ac:dyDescent="0.3">
      <c r="A40" s="14"/>
      <c r="B40" s="14"/>
      <c r="C40" s="14"/>
      <c r="D40" s="14"/>
      <c r="E40" s="14"/>
      <c r="F40" s="14"/>
      <c r="G40" s="14"/>
      <c r="H40" s="14"/>
      <c r="I40" s="14"/>
      <c r="J40" s="14"/>
      <c r="K40" s="14"/>
      <c r="L40" s="14"/>
    </row>
    <row r="41" spans="1:12" x14ac:dyDescent="0.3">
      <c r="A41" s="14"/>
      <c r="B41" s="14"/>
      <c r="C41" s="14"/>
      <c r="D41" s="14"/>
      <c r="E41" s="14"/>
      <c r="F41" s="14"/>
      <c r="G41" s="14"/>
      <c r="H41" s="14"/>
      <c r="I41" s="14"/>
      <c r="J41" s="14"/>
      <c r="K41" s="14"/>
      <c r="L41" s="14"/>
    </row>
    <row r="42" spans="1:12" x14ac:dyDescent="0.3">
      <c r="A42" s="14"/>
      <c r="B42" s="14"/>
      <c r="C42" s="14"/>
      <c r="D42" s="14"/>
      <c r="E42" s="14"/>
      <c r="F42" s="14"/>
      <c r="G42" s="14"/>
      <c r="H42" s="14"/>
      <c r="I42" s="14"/>
      <c r="J42" s="14"/>
      <c r="K42" s="14"/>
      <c r="L42" s="14"/>
    </row>
    <row r="43" spans="1:12" x14ac:dyDescent="0.3">
      <c r="A43" s="14"/>
      <c r="B43" s="14"/>
      <c r="C43" s="14"/>
      <c r="D43" s="14"/>
      <c r="E43" s="14"/>
      <c r="F43" s="14"/>
      <c r="G43" s="14"/>
      <c r="H43" s="14"/>
      <c r="I43" s="14"/>
      <c r="J43" s="14"/>
      <c r="K43" s="14"/>
      <c r="L43" s="14"/>
    </row>
    <row r="44" spans="1:12" x14ac:dyDescent="0.3">
      <c r="A44" s="14"/>
      <c r="B44" s="14"/>
      <c r="C44" s="14"/>
      <c r="D44" s="14"/>
      <c r="E44" s="14"/>
      <c r="F44" s="14"/>
      <c r="G44" s="14"/>
      <c r="H44" s="14"/>
      <c r="I44" s="14"/>
      <c r="J44" s="14"/>
      <c r="K44" s="14"/>
      <c r="L44" s="14"/>
    </row>
    <row r="45" spans="1:12" x14ac:dyDescent="0.3">
      <c r="A45" s="14"/>
      <c r="B45" s="14"/>
      <c r="C45" s="14"/>
      <c r="D45" s="14"/>
      <c r="E45" s="14"/>
      <c r="F45" s="14"/>
      <c r="G45" s="14"/>
      <c r="H45" s="14"/>
      <c r="I45" s="14"/>
      <c r="J45" s="14"/>
      <c r="K45" s="14"/>
      <c r="L45" s="14"/>
    </row>
    <row r="46" spans="1:12" x14ac:dyDescent="0.3">
      <c r="A46" s="14"/>
      <c r="B46" s="14"/>
      <c r="C46" s="14"/>
      <c r="D46" s="14"/>
      <c r="E46" s="14"/>
      <c r="F46" s="14"/>
      <c r="G46" s="14"/>
      <c r="H46" s="14"/>
      <c r="I46" s="14"/>
      <c r="J46" s="14"/>
      <c r="K46" s="14"/>
      <c r="L46" s="14"/>
    </row>
    <row r="47" spans="1:12" x14ac:dyDescent="0.3">
      <c r="A47" s="14"/>
      <c r="B47" s="14"/>
      <c r="C47" s="14"/>
      <c r="D47" s="14"/>
      <c r="E47" s="14"/>
      <c r="F47" s="14"/>
      <c r="G47" s="14"/>
      <c r="H47" s="14"/>
      <c r="I47" s="14"/>
      <c r="J47" s="14"/>
      <c r="K47" s="14"/>
      <c r="L47" s="14"/>
    </row>
    <row r="48" spans="1:12" x14ac:dyDescent="0.3">
      <c r="A48" s="14"/>
      <c r="B48" s="14"/>
      <c r="C48" s="14"/>
      <c r="D48" s="14"/>
      <c r="E48" s="14"/>
      <c r="F48" s="14"/>
      <c r="G48" s="14"/>
      <c r="H48" s="14"/>
      <c r="I48" s="14"/>
      <c r="J48" s="14"/>
      <c r="K48" s="14"/>
      <c r="L48" s="14"/>
    </row>
    <row r="49" spans="1:12" x14ac:dyDescent="0.3">
      <c r="A49" s="14"/>
      <c r="B49" s="14"/>
      <c r="C49" s="14"/>
      <c r="D49" s="14"/>
      <c r="E49" s="14"/>
      <c r="F49" s="14"/>
      <c r="G49" s="14"/>
      <c r="H49" s="14"/>
      <c r="I49" s="14"/>
      <c r="J49" s="14"/>
      <c r="K49" s="14"/>
      <c r="L49" s="14"/>
    </row>
    <row r="50" spans="1:12" x14ac:dyDescent="0.3">
      <c r="A50" s="14"/>
      <c r="B50" s="14"/>
      <c r="C50" s="14"/>
      <c r="D50" s="14"/>
      <c r="E50" s="14"/>
      <c r="F50" s="14"/>
      <c r="G50" s="14"/>
      <c r="H50" s="14"/>
      <c r="I50" s="14"/>
      <c r="J50" s="14"/>
      <c r="K50" s="14"/>
      <c r="L50" s="14"/>
    </row>
    <row r="51" spans="1:12" x14ac:dyDescent="0.3">
      <c r="A51" s="14"/>
      <c r="B51" s="14"/>
      <c r="C51" s="14"/>
      <c r="D51" s="14"/>
      <c r="E51" s="14"/>
      <c r="F51" s="14"/>
      <c r="G51" s="14"/>
      <c r="H51" s="14"/>
      <c r="I51" s="14"/>
      <c r="J51" s="14"/>
      <c r="K51" s="14"/>
      <c r="L51" s="14"/>
    </row>
    <row r="52" spans="1:12" x14ac:dyDescent="0.3">
      <c r="A52" s="14"/>
      <c r="B52" s="14"/>
      <c r="C52" s="14"/>
      <c r="D52" s="14"/>
      <c r="E52" s="14"/>
      <c r="F52" s="14"/>
      <c r="G52" s="14"/>
      <c r="H52" s="14"/>
      <c r="I52" s="14"/>
      <c r="J52" s="14"/>
      <c r="K52" s="14"/>
      <c r="L52" s="14"/>
    </row>
    <row r="53" spans="1:12" x14ac:dyDescent="0.3">
      <c r="A53" s="14"/>
      <c r="B53" s="14"/>
      <c r="C53" s="14"/>
      <c r="D53" s="14"/>
      <c r="E53" s="14"/>
      <c r="F53" s="14"/>
      <c r="G53" s="14"/>
      <c r="H53" s="14"/>
      <c r="I53" s="14"/>
      <c r="J53" s="14"/>
      <c r="K53" s="14"/>
      <c r="L53" s="14"/>
    </row>
    <row r="54" spans="1:12" x14ac:dyDescent="0.3">
      <c r="A54" s="14"/>
      <c r="B54" s="14"/>
      <c r="C54" s="14"/>
      <c r="D54" s="14"/>
      <c r="E54" s="14"/>
      <c r="F54" s="14"/>
      <c r="G54" s="14"/>
      <c r="H54" s="14"/>
      <c r="I54" s="14"/>
      <c r="J54" s="14"/>
      <c r="K54" s="14"/>
      <c r="L54" s="14"/>
    </row>
    <row r="55" spans="1:12" x14ac:dyDescent="0.3">
      <c r="A55" s="14"/>
      <c r="B55" s="14"/>
      <c r="C55" s="14"/>
      <c r="D55" s="14"/>
      <c r="E55" s="14"/>
      <c r="F55" s="14"/>
      <c r="G55" s="14"/>
      <c r="H55" s="14"/>
      <c r="I55" s="14"/>
      <c r="J55" s="14"/>
      <c r="K55" s="14"/>
      <c r="L55" s="14"/>
    </row>
    <row r="56" spans="1:12" x14ac:dyDescent="0.3">
      <c r="A56" s="14"/>
      <c r="B56" s="14"/>
      <c r="C56" s="14"/>
      <c r="D56" s="14"/>
      <c r="E56" s="14"/>
      <c r="F56" s="14"/>
      <c r="G56" s="14"/>
      <c r="H56" s="14"/>
      <c r="I56" s="14"/>
      <c r="J56" s="14"/>
      <c r="K56" s="14"/>
      <c r="L56" s="14"/>
    </row>
    <row r="57" spans="1:12" x14ac:dyDescent="0.3">
      <c r="A57" s="14"/>
      <c r="B57" s="14"/>
      <c r="C57" s="14"/>
      <c r="D57" s="14"/>
      <c r="E57" s="14"/>
      <c r="F57" s="14"/>
      <c r="G57" s="14"/>
      <c r="H57" s="14"/>
      <c r="I57" s="14"/>
      <c r="J57" s="14"/>
      <c r="K57" s="14"/>
      <c r="L57" s="14"/>
    </row>
    <row r="58" spans="1:12" x14ac:dyDescent="0.3">
      <c r="A58" s="14"/>
      <c r="B58" s="14"/>
      <c r="C58" s="14"/>
      <c r="D58" s="14"/>
      <c r="E58" s="14"/>
      <c r="F58" s="14"/>
      <c r="G58" s="14"/>
      <c r="H58" s="14"/>
      <c r="I58" s="14"/>
      <c r="J58" s="14"/>
      <c r="K58" s="14"/>
      <c r="L58" s="14"/>
    </row>
    <row r="59" spans="1:12" x14ac:dyDescent="0.3">
      <c r="A59" s="14"/>
      <c r="B59" s="14"/>
      <c r="C59" s="14"/>
      <c r="D59" s="14"/>
      <c r="E59" s="14"/>
      <c r="F59" s="14"/>
      <c r="G59" s="14"/>
      <c r="H59" s="14"/>
      <c r="I59" s="14"/>
      <c r="J59" s="14"/>
      <c r="K59" s="14"/>
      <c r="L59" s="14"/>
    </row>
    <row r="61" spans="1:12" x14ac:dyDescent="0.3">
      <c r="A61" s="5" t="s">
        <v>1562</v>
      </c>
    </row>
  </sheetData>
  <dataValidations count="2">
    <dataValidation type="list" allowBlank="1" sqref="I3:I59" xr:uid="{00000000-0002-0000-0500-000000000000}">
      <formula1>"Critical,High,Medium,Low"</formula1>
    </dataValidation>
    <dataValidation type="list" allowBlank="1" sqref="J3:J59" xr:uid="{00000000-0002-0000-0500-000001000000}">
      <formula1>"Open,Fixed,Retested OK,Will not fix,Not a bug"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Summary</vt:lpstr>
      <vt:lpstr>Test Cases</vt:lpstr>
      <vt:lpstr>Code Review Risks</vt:lpstr>
      <vt:lpstr>Test Data</vt:lpstr>
      <vt:lpstr>Bug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aabid shaikh</cp:lastModifiedBy>
  <dcterms:created xsi:type="dcterms:W3CDTF">2026-10-09T06:37:32Z</dcterms:created>
  <dcterms:modified xsi:type="dcterms:W3CDTF">2026-10-09T06:37:55Z</dcterms:modified>
</cp:coreProperties>
</file>